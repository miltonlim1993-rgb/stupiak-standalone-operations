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4F0AB4-06B0-4E02-9321-C38E2166D098}" xr6:coauthVersionLast="47" xr6:coauthVersionMax="47" xr10:uidLastSave="{00000000-0000-0000-0000-000000000000}"/>
  <bookViews>
    <workbookView xWindow="6330" yWindow="1080" windowWidth="8475" windowHeight="10785" activeTab="3" xr2:uid="{00000000-000D-0000-FFFF-FFFF00000000}"/>
  </bookViews>
  <sheets>
    <sheet name="Order Page" sheetId="1" r:id="rId1"/>
    <sheet name="Inventory " sheetId="2" r:id="rId2"/>
    <sheet name="Untensil PG1" sheetId="3" r:id="rId3"/>
    <sheet name="Utensil PG2" sheetId="4" r:id="rId4"/>
    <sheet name="Stationary " sheetId="5" r:id="rId5"/>
  </sheets>
  <calcPr calcId="181029"/>
</workbook>
</file>

<file path=xl/calcChain.xml><?xml version="1.0" encoding="utf-8"?>
<calcChain xmlns="http://schemas.openxmlformats.org/spreadsheetml/2006/main">
  <c r="A44" i="5" l="1"/>
  <c r="A44" i="1" s="1"/>
  <c r="F22" i="5"/>
  <c r="D22" i="5"/>
  <c r="F21" i="5" s="1"/>
  <c r="D21" i="5"/>
  <c r="F20" i="5" s="1"/>
  <c r="D20" i="5"/>
  <c r="F19" i="5"/>
  <c r="D19" i="5"/>
  <c r="F18" i="5" s="1"/>
  <c r="D18" i="5"/>
  <c r="F17" i="5" s="1"/>
  <c r="D17" i="5"/>
  <c r="F16" i="5"/>
  <c r="D16" i="5"/>
  <c r="F15" i="5" s="1"/>
  <c r="D15" i="5"/>
  <c r="F14" i="5" s="1"/>
  <c r="D14" i="5"/>
  <c r="F13" i="5" s="1"/>
  <c r="D13" i="5"/>
  <c r="F12" i="5" s="1"/>
  <c r="D12" i="5"/>
  <c r="F11" i="5" s="1"/>
  <c r="D11" i="5"/>
  <c r="F10" i="5" s="1"/>
  <c r="D10" i="5"/>
  <c r="F9" i="5" s="1"/>
  <c r="D9" i="5"/>
  <c r="F8" i="5" s="1"/>
  <c r="D8" i="5"/>
  <c r="F7" i="5" s="1"/>
  <c r="D7" i="5"/>
  <c r="F6" i="5" s="1"/>
  <c r="D6" i="5"/>
  <c r="F5" i="5"/>
  <c r="D5" i="5"/>
  <c r="F4" i="5" s="1"/>
  <c r="D4" i="5"/>
  <c r="F3" i="5" s="1"/>
  <c r="X38" i="4"/>
  <c r="W38" i="4"/>
  <c r="V38" i="4"/>
  <c r="U38" i="4"/>
  <c r="T38" i="4"/>
  <c r="P38" i="4"/>
  <c r="X37" i="4" s="1"/>
  <c r="M38" i="4"/>
  <c r="J38" i="4"/>
  <c r="V37" i="4" s="1"/>
  <c r="G38" i="4"/>
  <c r="U37" i="4" s="1"/>
  <c r="D38" i="4"/>
  <c r="T37" i="4" s="1"/>
  <c r="W37" i="4"/>
  <c r="P37" i="4"/>
  <c r="X36" i="4" s="1"/>
  <c r="M37" i="4"/>
  <c r="W36" i="4" s="1"/>
  <c r="J37" i="4"/>
  <c r="V36" i="4" s="1"/>
  <c r="G37" i="4"/>
  <c r="U36" i="4" s="1"/>
  <c r="D37" i="4"/>
  <c r="T36" i="4" s="1"/>
  <c r="P36" i="4"/>
  <c r="X35" i="4" s="1"/>
  <c r="M36" i="4"/>
  <c r="W35" i="4" s="1"/>
  <c r="J36" i="4"/>
  <c r="V35" i="4" s="1"/>
  <c r="G36" i="4"/>
  <c r="U35" i="4" s="1"/>
  <c r="D36" i="4"/>
  <c r="T35" i="4" s="1"/>
  <c r="P35" i="4"/>
  <c r="X34" i="4" s="1"/>
  <c r="M35" i="4"/>
  <c r="W34" i="4" s="1"/>
  <c r="J35" i="4"/>
  <c r="V34" i="4" s="1"/>
  <c r="G35" i="4"/>
  <c r="D35" i="4"/>
  <c r="T34" i="4" s="1"/>
  <c r="U34" i="4"/>
  <c r="P34" i="4"/>
  <c r="X33" i="4" s="1"/>
  <c r="M34" i="4"/>
  <c r="J34" i="4"/>
  <c r="V33" i="4" s="1"/>
  <c r="G34" i="4"/>
  <c r="U33" i="4" s="1"/>
  <c r="D34" i="4"/>
  <c r="T33" i="4" s="1"/>
  <c r="W33" i="4"/>
  <c r="P33" i="4"/>
  <c r="X32" i="4" s="1"/>
  <c r="M33" i="4"/>
  <c r="W32" i="4" s="1"/>
  <c r="J33" i="4"/>
  <c r="V32" i="4" s="1"/>
  <c r="G33" i="4"/>
  <c r="U32" i="4" s="1"/>
  <c r="D33" i="4"/>
  <c r="T32" i="4" s="1"/>
  <c r="P32" i="4"/>
  <c r="X31" i="4" s="1"/>
  <c r="M32" i="4"/>
  <c r="W31" i="4" s="1"/>
  <c r="J32" i="4"/>
  <c r="V31" i="4" s="1"/>
  <c r="G32" i="4"/>
  <c r="U31" i="4" s="1"/>
  <c r="D32" i="4"/>
  <c r="T31" i="4" s="1"/>
  <c r="P31" i="4"/>
  <c r="X30" i="4" s="1"/>
  <c r="M31" i="4"/>
  <c r="W30" i="4" s="1"/>
  <c r="J31" i="4"/>
  <c r="V30" i="4" s="1"/>
  <c r="G31" i="4"/>
  <c r="U30" i="4" s="1"/>
  <c r="D31" i="4"/>
  <c r="T30" i="4" s="1"/>
  <c r="P30" i="4"/>
  <c r="X29" i="4" s="1"/>
  <c r="M30" i="4"/>
  <c r="W29" i="4" s="1"/>
  <c r="J30" i="4"/>
  <c r="V29" i="4" s="1"/>
  <c r="G30" i="4"/>
  <c r="U29" i="4" s="1"/>
  <c r="D30" i="4"/>
  <c r="T29" i="4" s="1"/>
  <c r="P29" i="4"/>
  <c r="X28" i="4" s="1"/>
  <c r="M29" i="4"/>
  <c r="W28" i="4" s="1"/>
  <c r="J29" i="4"/>
  <c r="V28" i="4" s="1"/>
  <c r="G29" i="4"/>
  <c r="U28" i="4" s="1"/>
  <c r="D29" i="4"/>
  <c r="T28" i="4" s="1"/>
  <c r="P28" i="4"/>
  <c r="X27" i="4" s="1"/>
  <c r="M28" i="4"/>
  <c r="W27" i="4" s="1"/>
  <c r="J28" i="4"/>
  <c r="V27" i="4" s="1"/>
  <c r="G28" i="4"/>
  <c r="U27" i="4" s="1"/>
  <c r="D28" i="4"/>
  <c r="T27" i="4" s="1"/>
  <c r="P27" i="4"/>
  <c r="X26" i="4" s="1"/>
  <c r="M27" i="4"/>
  <c r="W26" i="4" s="1"/>
  <c r="J27" i="4"/>
  <c r="V26" i="4" s="1"/>
  <c r="G27" i="4"/>
  <c r="U26" i="4" s="1"/>
  <c r="D27" i="4"/>
  <c r="T26" i="4" s="1"/>
  <c r="P26" i="4"/>
  <c r="X25" i="4" s="1"/>
  <c r="M26" i="4"/>
  <c r="W25" i="4" s="1"/>
  <c r="J26" i="4"/>
  <c r="V25" i="4" s="1"/>
  <c r="G26" i="4"/>
  <c r="U25" i="4" s="1"/>
  <c r="D26" i="4"/>
  <c r="T25" i="4" s="1"/>
  <c r="P25" i="4"/>
  <c r="X24" i="4" s="1"/>
  <c r="M25" i="4"/>
  <c r="W24" i="4" s="1"/>
  <c r="J25" i="4"/>
  <c r="V24" i="4" s="1"/>
  <c r="G25" i="4"/>
  <c r="U24" i="4" s="1"/>
  <c r="D25" i="4"/>
  <c r="T24" i="4" s="1"/>
  <c r="P24" i="4"/>
  <c r="X23" i="4" s="1"/>
  <c r="M24" i="4"/>
  <c r="J24" i="4"/>
  <c r="V23" i="4" s="1"/>
  <c r="G24" i="4"/>
  <c r="U23" i="4" s="1"/>
  <c r="D24" i="4"/>
  <c r="T23" i="4" s="1"/>
  <c r="W23" i="4"/>
  <c r="P23" i="4"/>
  <c r="X22" i="4" s="1"/>
  <c r="M23" i="4"/>
  <c r="W22" i="4" s="1"/>
  <c r="J23" i="4"/>
  <c r="V22" i="4" s="1"/>
  <c r="G23" i="4"/>
  <c r="U22" i="4" s="1"/>
  <c r="D23" i="4"/>
  <c r="T22" i="4" s="1"/>
  <c r="P22" i="4"/>
  <c r="X21" i="4" s="1"/>
  <c r="M22" i="4"/>
  <c r="W21" i="4" s="1"/>
  <c r="J22" i="4"/>
  <c r="V21" i="4" s="1"/>
  <c r="G22" i="4"/>
  <c r="U21" i="4" s="1"/>
  <c r="D22" i="4"/>
  <c r="T21" i="4" s="1"/>
  <c r="P21" i="4"/>
  <c r="X20" i="4" s="1"/>
  <c r="M21" i="4"/>
  <c r="W20" i="4" s="1"/>
  <c r="J21" i="4"/>
  <c r="G21" i="4"/>
  <c r="U20" i="4" s="1"/>
  <c r="D21" i="4"/>
  <c r="T20" i="4" s="1"/>
  <c r="V20" i="4"/>
  <c r="P20" i="4"/>
  <c r="X19" i="4" s="1"/>
  <c r="M20" i="4"/>
  <c r="W19" i="4" s="1"/>
  <c r="J20" i="4"/>
  <c r="V19" i="4" s="1"/>
  <c r="G20" i="4"/>
  <c r="U19" i="4" s="1"/>
  <c r="D20" i="4"/>
  <c r="T19" i="4" s="1"/>
  <c r="P19" i="4"/>
  <c r="X18" i="4" s="1"/>
  <c r="M19" i="4"/>
  <c r="W18" i="4" s="1"/>
  <c r="J19" i="4"/>
  <c r="V18" i="4" s="1"/>
  <c r="G19" i="4"/>
  <c r="U18" i="4" s="1"/>
  <c r="D19" i="4"/>
  <c r="T18" i="4" s="1"/>
  <c r="P18" i="4"/>
  <c r="X17" i="4" s="1"/>
  <c r="M18" i="4"/>
  <c r="W17" i="4" s="1"/>
  <c r="J18" i="4"/>
  <c r="V17" i="4" s="1"/>
  <c r="G18" i="4"/>
  <c r="U17" i="4" s="1"/>
  <c r="D18" i="4"/>
  <c r="T17" i="4" s="1"/>
  <c r="P17" i="4"/>
  <c r="X16" i="4" s="1"/>
  <c r="M17" i="4"/>
  <c r="W16" i="4" s="1"/>
  <c r="J17" i="4"/>
  <c r="V16" i="4" s="1"/>
  <c r="G17" i="4"/>
  <c r="U16" i="4" s="1"/>
  <c r="D17" i="4"/>
  <c r="T16" i="4" s="1"/>
  <c r="P16" i="4"/>
  <c r="M16" i="4"/>
  <c r="W15" i="4" s="1"/>
  <c r="J16" i="4"/>
  <c r="V15" i="4" s="1"/>
  <c r="G16" i="4"/>
  <c r="U15" i="4" s="1"/>
  <c r="D16" i="4"/>
  <c r="T15" i="4" s="1"/>
  <c r="X15" i="4"/>
  <c r="P15" i="4"/>
  <c r="X14" i="4" s="1"/>
  <c r="M15" i="4"/>
  <c r="W14" i="4" s="1"/>
  <c r="J15" i="4"/>
  <c r="V14" i="4" s="1"/>
  <c r="G15" i="4"/>
  <c r="U14" i="4" s="1"/>
  <c r="D15" i="4"/>
  <c r="T14" i="4" s="1"/>
  <c r="P14" i="4"/>
  <c r="X13" i="4" s="1"/>
  <c r="M14" i="4"/>
  <c r="W13" i="4" s="1"/>
  <c r="J14" i="4"/>
  <c r="V13" i="4" s="1"/>
  <c r="G14" i="4"/>
  <c r="U13" i="4" s="1"/>
  <c r="D14" i="4"/>
  <c r="T13" i="4"/>
  <c r="P13" i="4"/>
  <c r="X12" i="4" s="1"/>
  <c r="M13" i="4"/>
  <c r="W11" i="4" s="1"/>
  <c r="J13" i="4"/>
  <c r="V11" i="4" s="1"/>
  <c r="G13" i="4"/>
  <c r="U11" i="4" s="1"/>
  <c r="D13" i="4"/>
  <c r="T12" i="4" s="1"/>
  <c r="P12" i="4"/>
  <c r="X10" i="4" s="1"/>
  <c r="M12" i="4"/>
  <c r="W10" i="4" s="1"/>
  <c r="J12" i="4"/>
  <c r="V10" i="4" s="1"/>
  <c r="G12" i="4"/>
  <c r="U10" i="4" s="1"/>
  <c r="D12" i="4"/>
  <c r="T10" i="4" s="1"/>
  <c r="P11" i="4"/>
  <c r="M11" i="4"/>
  <c r="J11" i="4"/>
  <c r="G11" i="4"/>
  <c r="D11" i="4"/>
  <c r="P10" i="4"/>
  <c r="X9" i="4" s="1"/>
  <c r="M10" i="4"/>
  <c r="W9" i="4" s="1"/>
  <c r="J10" i="4"/>
  <c r="V9" i="4" s="1"/>
  <c r="G10" i="4"/>
  <c r="U9" i="4" s="1"/>
  <c r="D10" i="4"/>
  <c r="T9" i="4" s="1"/>
  <c r="P9" i="4"/>
  <c r="X8" i="4" s="1"/>
  <c r="M9" i="4"/>
  <c r="W8" i="4" s="1"/>
  <c r="J9" i="4"/>
  <c r="V8" i="4" s="1"/>
  <c r="G9" i="4"/>
  <c r="U8" i="4" s="1"/>
  <c r="D9" i="4"/>
  <c r="T8" i="4" s="1"/>
  <c r="P8" i="4"/>
  <c r="X7" i="4" s="1"/>
  <c r="M8" i="4"/>
  <c r="W7" i="4" s="1"/>
  <c r="J8" i="4"/>
  <c r="V7" i="4" s="1"/>
  <c r="G8" i="4"/>
  <c r="U7" i="4" s="1"/>
  <c r="D8" i="4"/>
  <c r="T7" i="4" s="1"/>
  <c r="P7" i="4"/>
  <c r="X6" i="4" s="1"/>
  <c r="M7" i="4"/>
  <c r="W6" i="4" s="1"/>
  <c r="J7" i="4"/>
  <c r="V6" i="4" s="1"/>
  <c r="G7" i="4"/>
  <c r="U6" i="4" s="1"/>
  <c r="D7" i="4"/>
  <c r="T6" i="4" s="1"/>
  <c r="P6" i="4"/>
  <c r="X5" i="4" s="1"/>
  <c r="M6" i="4"/>
  <c r="W5" i="4" s="1"/>
  <c r="J6" i="4"/>
  <c r="V5" i="4" s="1"/>
  <c r="G6" i="4"/>
  <c r="U5" i="4" s="1"/>
  <c r="D6" i="4"/>
  <c r="T5" i="4" s="1"/>
  <c r="P5" i="4"/>
  <c r="X4" i="4" s="1"/>
  <c r="M5" i="4"/>
  <c r="W4" i="4" s="1"/>
  <c r="J5" i="4"/>
  <c r="V4" i="4" s="1"/>
  <c r="G5" i="4"/>
  <c r="U4" i="4" s="1"/>
  <c r="D5" i="4"/>
  <c r="T4" i="4" s="1"/>
  <c r="P4" i="4"/>
  <c r="X3" i="4" s="1"/>
  <c r="M4" i="4"/>
  <c r="W3" i="4" s="1"/>
  <c r="J4" i="4"/>
  <c r="V3" i="4" s="1"/>
  <c r="G4" i="4"/>
  <c r="U3" i="4" s="1"/>
  <c r="D4" i="4"/>
  <c r="T3" i="4" s="1"/>
  <c r="N2" i="4"/>
  <c r="A50" i="4" s="1"/>
  <c r="A39" i="1" s="1"/>
  <c r="K2" i="4"/>
  <c r="A49" i="4" s="1"/>
  <c r="A31" i="1" s="1"/>
  <c r="H2" i="4"/>
  <c r="A48" i="4" s="1"/>
  <c r="A23" i="1" s="1"/>
  <c r="E2" i="4"/>
  <c r="A15" i="1" s="1"/>
  <c r="B2" i="4"/>
  <c r="A46" i="4" s="1"/>
  <c r="A7" i="1" s="1"/>
  <c r="A45" i="3"/>
  <c r="A38" i="1" s="1"/>
  <c r="A44" i="3"/>
  <c r="A30" i="1" s="1"/>
  <c r="A43" i="3"/>
  <c r="A22" i="1" s="1"/>
  <c r="A42" i="3"/>
  <c r="A14" i="1" s="1"/>
  <c r="A41" i="3"/>
  <c r="A6" i="1" s="1"/>
  <c r="P35" i="3"/>
  <c r="W35" i="3" s="1"/>
  <c r="M35" i="3"/>
  <c r="V35" i="3" s="1"/>
  <c r="J35" i="3"/>
  <c r="U35" i="3" s="1"/>
  <c r="G35" i="3"/>
  <c r="T35" i="3" s="1"/>
  <c r="D35" i="3"/>
  <c r="S35" i="3" s="1"/>
  <c r="P34" i="3"/>
  <c r="W34" i="3" s="1"/>
  <c r="M34" i="3"/>
  <c r="V34" i="3" s="1"/>
  <c r="J34" i="3"/>
  <c r="U34" i="3" s="1"/>
  <c r="G34" i="3"/>
  <c r="T34" i="3" s="1"/>
  <c r="D34" i="3"/>
  <c r="S34" i="3" s="1"/>
  <c r="P33" i="3"/>
  <c r="W33" i="3" s="1"/>
  <c r="M33" i="3"/>
  <c r="V33" i="3" s="1"/>
  <c r="J33" i="3"/>
  <c r="U33" i="3" s="1"/>
  <c r="G33" i="3"/>
  <c r="T33" i="3" s="1"/>
  <c r="D33" i="3"/>
  <c r="S33" i="3" s="1"/>
  <c r="P32" i="3"/>
  <c r="W32" i="3" s="1"/>
  <c r="M32" i="3"/>
  <c r="V32" i="3" s="1"/>
  <c r="J32" i="3"/>
  <c r="U32" i="3" s="1"/>
  <c r="G32" i="3"/>
  <c r="T32" i="3" s="1"/>
  <c r="D32" i="3"/>
  <c r="S32" i="3" s="1"/>
  <c r="P31" i="3"/>
  <c r="W31" i="3" s="1"/>
  <c r="M31" i="3"/>
  <c r="V31" i="3" s="1"/>
  <c r="J31" i="3"/>
  <c r="U31" i="3" s="1"/>
  <c r="G31" i="3"/>
  <c r="T31" i="3" s="1"/>
  <c r="D31" i="3"/>
  <c r="S31" i="3" s="1"/>
  <c r="P30" i="3"/>
  <c r="W30" i="3" s="1"/>
  <c r="M30" i="3"/>
  <c r="V30" i="3" s="1"/>
  <c r="J30" i="3"/>
  <c r="U30" i="3" s="1"/>
  <c r="G30" i="3"/>
  <c r="T30" i="3" s="1"/>
  <c r="D30" i="3"/>
  <c r="S30" i="3" s="1"/>
  <c r="P29" i="3"/>
  <c r="W29" i="3" s="1"/>
  <c r="M29" i="3"/>
  <c r="V29" i="3" s="1"/>
  <c r="J29" i="3"/>
  <c r="U29" i="3" s="1"/>
  <c r="G29" i="3"/>
  <c r="T29" i="3" s="1"/>
  <c r="D29" i="3"/>
  <c r="S29" i="3" s="1"/>
  <c r="P28" i="3"/>
  <c r="W28" i="3" s="1"/>
  <c r="M28" i="3"/>
  <c r="V28" i="3" s="1"/>
  <c r="J28" i="3"/>
  <c r="U28" i="3" s="1"/>
  <c r="G28" i="3"/>
  <c r="T28" i="3" s="1"/>
  <c r="D28" i="3"/>
  <c r="S28" i="3" s="1"/>
  <c r="P27" i="3"/>
  <c r="W27" i="3" s="1"/>
  <c r="M27" i="3"/>
  <c r="V27" i="3" s="1"/>
  <c r="J27" i="3"/>
  <c r="U27" i="3" s="1"/>
  <c r="G27" i="3"/>
  <c r="T27" i="3" s="1"/>
  <c r="D27" i="3"/>
  <c r="S27" i="3" s="1"/>
  <c r="P26" i="3"/>
  <c r="W26" i="3" s="1"/>
  <c r="M26" i="3"/>
  <c r="V26" i="3" s="1"/>
  <c r="J26" i="3"/>
  <c r="U26" i="3" s="1"/>
  <c r="G26" i="3"/>
  <c r="T26" i="3" s="1"/>
  <c r="D26" i="3"/>
  <c r="S26" i="3" s="1"/>
  <c r="P25" i="3"/>
  <c r="W25" i="3" s="1"/>
  <c r="M25" i="3"/>
  <c r="V25" i="3" s="1"/>
  <c r="J25" i="3"/>
  <c r="U25" i="3" s="1"/>
  <c r="G25" i="3"/>
  <c r="T25" i="3" s="1"/>
  <c r="D25" i="3"/>
  <c r="S25" i="3" s="1"/>
  <c r="P24" i="3"/>
  <c r="W24" i="3" s="1"/>
  <c r="M24" i="3"/>
  <c r="V24" i="3" s="1"/>
  <c r="J24" i="3"/>
  <c r="U24" i="3" s="1"/>
  <c r="G24" i="3"/>
  <c r="T24" i="3" s="1"/>
  <c r="D24" i="3"/>
  <c r="S24" i="3" s="1"/>
  <c r="P23" i="3"/>
  <c r="M23" i="3"/>
  <c r="J23" i="3"/>
  <c r="G23" i="3"/>
  <c r="D23" i="3"/>
  <c r="P22" i="3"/>
  <c r="M22" i="3"/>
  <c r="J22" i="3"/>
  <c r="G22" i="3"/>
  <c r="D22" i="3"/>
  <c r="P21" i="3"/>
  <c r="W21" i="3" s="1"/>
  <c r="M21" i="3"/>
  <c r="V21" i="3" s="1"/>
  <c r="J21" i="3"/>
  <c r="U21" i="3" s="1"/>
  <c r="G21" i="3"/>
  <c r="T21" i="3" s="1"/>
  <c r="D21" i="3"/>
  <c r="S21" i="3" s="1"/>
  <c r="U20" i="3"/>
  <c r="P20" i="3"/>
  <c r="W20" i="3" s="1"/>
  <c r="M20" i="3"/>
  <c r="V20" i="3" s="1"/>
  <c r="J20" i="3"/>
  <c r="G20" i="3"/>
  <c r="T20" i="3" s="1"/>
  <c r="D20" i="3"/>
  <c r="S20" i="3" s="1"/>
  <c r="P19" i="3"/>
  <c r="W19" i="3" s="1"/>
  <c r="M19" i="3"/>
  <c r="V19" i="3" s="1"/>
  <c r="J19" i="3"/>
  <c r="U19" i="3" s="1"/>
  <c r="G19" i="3"/>
  <c r="T19" i="3" s="1"/>
  <c r="D19" i="3"/>
  <c r="S19" i="3" s="1"/>
  <c r="P18" i="3"/>
  <c r="W18" i="3" s="1"/>
  <c r="M18" i="3"/>
  <c r="V18" i="3" s="1"/>
  <c r="J18" i="3"/>
  <c r="U18" i="3" s="1"/>
  <c r="G18" i="3"/>
  <c r="T18" i="3" s="1"/>
  <c r="D18" i="3"/>
  <c r="S18" i="3" s="1"/>
  <c r="W17" i="3"/>
  <c r="S17" i="3"/>
  <c r="P17" i="3"/>
  <c r="M17" i="3"/>
  <c r="V17" i="3" s="1"/>
  <c r="J17" i="3"/>
  <c r="U17" i="3" s="1"/>
  <c r="G17" i="3"/>
  <c r="T17" i="3" s="1"/>
  <c r="D17" i="3"/>
  <c r="P16" i="3"/>
  <c r="W16" i="3" s="1"/>
  <c r="M16" i="3"/>
  <c r="V16" i="3" s="1"/>
  <c r="J16" i="3"/>
  <c r="U16" i="3" s="1"/>
  <c r="G16" i="3"/>
  <c r="T16" i="3" s="1"/>
  <c r="D16" i="3"/>
  <c r="S16" i="3" s="1"/>
  <c r="P15" i="3"/>
  <c r="W15" i="3" s="1"/>
  <c r="M15" i="3"/>
  <c r="V15" i="3" s="1"/>
  <c r="J15" i="3"/>
  <c r="U15" i="3" s="1"/>
  <c r="G15" i="3"/>
  <c r="T15" i="3" s="1"/>
  <c r="D15" i="3"/>
  <c r="S15" i="3" s="1"/>
  <c r="P14" i="3"/>
  <c r="W14" i="3" s="1"/>
  <c r="M14" i="3"/>
  <c r="V14" i="3" s="1"/>
  <c r="J14" i="3"/>
  <c r="U14" i="3" s="1"/>
  <c r="G14" i="3"/>
  <c r="T14" i="3" s="1"/>
  <c r="D14" i="3"/>
  <c r="S14" i="3" s="1"/>
  <c r="S13" i="3"/>
  <c r="P13" i="3"/>
  <c r="W13" i="3" s="1"/>
  <c r="M13" i="3"/>
  <c r="V13" i="3" s="1"/>
  <c r="J13" i="3"/>
  <c r="U13" i="3" s="1"/>
  <c r="G13" i="3"/>
  <c r="T13" i="3" s="1"/>
  <c r="D13" i="3"/>
  <c r="P12" i="3"/>
  <c r="W12" i="3" s="1"/>
  <c r="M12" i="3"/>
  <c r="V12" i="3" s="1"/>
  <c r="J12" i="3"/>
  <c r="U12" i="3" s="1"/>
  <c r="G12" i="3"/>
  <c r="T12" i="3" s="1"/>
  <c r="D12" i="3"/>
  <c r="S12" i="3" s="1"/>
  <c r="P11" i="3"/>
  <c r="W11" i="3" s="1"/>
  <c r="M11" i="3"/>
  <c r="V11" i="3" s="1"/>
  <c r="J11" i="3"/>
  <c r="U11" i="3" s="1"/>
  <c r="G11" i="3"/>
  <c r="T11" i="3" s="1"/>
  <c r="D11" i="3"/>
  <c r="S11" i="3" s="1"/>
  <c r="P10" i="3"/>
  <c r="W10" i="3" s="1"/>
  <c r="M10" i="3"/>
  <c r="V10" i="3" s="1"/>
  <c r="J10" i="3"/>
  <c r="U10" i="3" s="1"/>
  <c r="G10" i="3"/>
  <c r="T10" i="3" s="1"/>
  <c r="D10" i="3"/>
  <c r="S10" i="3" s="1"/>
  <c r="P9" i="3"/>
  <c r="W9" i="3" s="1"/>
  <c r="M9" i="3"/>
  <c r="V9" i="3" s="1"/>
  <c r="J9" i="3"/>
  <c r="U9" i="3" s="1"/>
  <c r="G9" i="3"/>
  <c r="T9" i="3" s="1"/>
  <c r="D9" i="3"/>
  <c r="S9" i="3" s="1"/>
  <c r="P8" i="3"/>
  <c r="W8" i="3" s="1"/>
  <c r="M8" i="3"/>
  <c r="V8" i="3" s="1"/>
  <c r="J8" i="3"/>
  <c r="U8" i="3" s="1"/>
  <c r="G8" i="3"/>
  <c r="T8" i="3" s="1"/>
  <c r="D8" i="3"/>
  <c r="S8" i="3" s="1"/>
  <c r="S7" i="3"/>
  <c r="P7" i="3"/>
  <c r="W7" i="3" s="1"/>
  <c r="M7" i="3"/>
  <c r="V7" i="3" s="1"/>
  <c r="J7" i="3"/>
  <c r="U7" i="3" s="1"/>
  <c r="G7" i="3"/>
  <c r="T7" i="3" s="1"/>
  <c r="D7" i="3"/>
  <c r="P6" i="3"/>
  <c r="W6" i="3" s="1"/>
  <c r="M6" i="3"/>
  <c r="V6" i="3" s="1"/>
  <c r="J6" i="3"/>
  <c r="U6" i="3" s="1"/>
  <c r="G6" i="3"/>
  <c r="T6" i="3" s="1"/>
  <c r="D6" i="3"/>
  <c r="S6" i="3" s="1"/>
  <c r="P5" i="3"/>
  <c r="W5" i="3" s="1"/>
  <c r="M5" i="3"/>
  <c r="V5" i="3" s="1"/>
  <c r="J5" i="3"/>
  <c r="U5" i="3" s="1"/>
  <c r="G5" i="3"/>
  <c r="T5" i="3" s="1"/>
  <c r="D5" i="3"/>
  <c r="S5" i="3" s="1"/>
  <c r="P4" i="3"/>
  <c r="W4" i="3" s="1"/>
  <c r="M4" i="3"/>
  <c r="V4" i="3" s="1"/>
  <c r="J4" i="3"/>
  <c r="U4" i="3" s="1"/>
  <c r="G4" i="3"/>
  <c r="T4" i="3" s="1"/>
  <c r="D4" i="3"/>
  <c r="S4" i="3" s="1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2" i="2"/>
  <c r="A91" i="2"/>
  <c r="A90" i="2"/>
  <c r="A89" i="2"/>
  <c r="A54" i="2"/>
  <c r="A35" i="1" s="1"/>
  <c r="A53" i="2"/>
  <c r="A27" i="1" s="1"/>
  <c r="A52" i="2"/>
  <c r="A19" i="1" s="1"/>
  <c r="A51" i="2"/>
  <c r="A11" i="1" s="1"/>
  <c r="A50" i="2"/>
  <c r="A3" i="1" s="1"/>
  <c r="Z43" i="2"/>
  <c r="AH43" i="2" s="1"/>
  <c r="U43" i="2"/>
  <c r="AG43" i="2" s="1"/>
  <c r="P43" i="2"/>
  <c r="AF43" i="2" s="1"/>
  <c r="K43" i="2"/>
  <c r="AE43" i="2" s="1"/>
  <c r="F43" i="2"/>
  <c r="AD43" i="2" s="1"/>
  <c r="Z42" i="2"/>
  <c r="AH42" i="2" s="1"/>
  <c r="U42" i="2"/>
  <c r="AG42" i="2" s="1"/>
  <c r="P42" i="2"/>
  <c r="AF42" i="2" s="1"/>
  <c r="K42" i="2"/>
  <c r="AE42" i="2" s="1"/>
  <c r="F42" i="2"/>
  <c r="AD42" i="2" s="1"/>
  <c r="Z41" i="2"/>
  <c r="AH41" i="2" s="1"/>
  <c r="U41" i="2"/>
  <c r="AG41" i="2" s="1"/>
  <c r="P41" i="2"/>
  <c r="AF41" i="2" s="1"/>
  <c r="K41" i="2"/>
  <c r="AE41" i="2" s="1"/>
  <c r="F41" i="2"/>
  <c r="AD41" i="2" s="1"/>
  <c r="Z40" i="2"/>
  <c r="AH40" i="2" s="1"/>
  <c r="U40" i="2"/>
  <c r="AG40" i="2" s="1"/>
  <c r="P40" i="2"/>
  <c r="AF40" i="2" s="1"/>
  <c r="K40" i="2"/>
  <c r="AE40" i="2" s="1"/>
  <c r="F40" i="2"/>
  <c r="AD40" i="2" s="1"/>
  <c r="Z39" i="2"/>
  <c r="AH39" i="2" s="1"/>
  <c r="U39" i="2"/>
  <c r="AG39" i="2" s="1"/>
  <c r="P39" i="2"/>
  <c r="AF39" i="2" s="1"/>
  <c r="K39" i="2"/>
  <c r="AE39" i="2" s="1"/>
  <c r="F39" i="2"/>
  <c r="AD39" i="2" s="1"/>
  <c r="Z38" i="2"/>
  <c r="AH38" i="2" s="1"/>
  <c r="U38" i="2"/>
  <c r="AG38" i="2" s="1"/>
  <c r="P38" i="2"/>
  <c r="AF38" i="2" s="1"/>
  <c r="K38" i="2"/>
  <c r="AE38" i="2" s="1"/>
  <c r="F38" i="2"/>
  <c r="AD38" i="2" s="1"/>
  <c r="Z37" i="2"/>
  <c r="AH37" i="2" s="1"/>
  <c r="U37" i="2"/>
  <c r="AG37" i="2" s="1"/>
  <c r="P37" i="2"/>
  <c r="AF37" i="2" s="1"/>
  <c r="K37" i="2"/>
  <c r="AE37" i="2" s="1"/>
  <c r="F37" i="2"/>
  <c r="AD37" i="2" s="1"/>
  <c r="AG36" i="2"/>
  <c r="Z36" i="2"/>
  <c r="AH36" i="2" s="1"/>
  <c r="U36" i="2"/>
  <c r="P36" i="2"/>
  <c r="AF36" i="2" s="1"/>
  <c r="K36" i="2"/>
  <c r="AE36" i="2" s="1"/>
  <c r="F36" i="2"/>
  <c r="AD36" i="2" s="1"/>
  <c r="Z35" i="2"/>
  <c r="AH35" i="2" s="1"/>
  <c r="U35" i="2"/>
  <c r="AG35" i="2" s="1"/>
  <c r="P35" i="2"/>
  <c r="AF35" i="2" s="1"/>
  <c r="K35" i="2"/>
  <c r="AE35" i="2" s="1"/>
  <c r="F35" i="2"/>
  <c r="AD35" i="2" s="1"/>
  <c r="Z34" i="2"/>
  <c r="AH34" i="2" s="1"/>
  <c r="U34" i="2"/>
  <c r="AG34" i="2" s="1"/>
  <c r="P34" i="2"/>
  <c r="AF34" i="2" s="1"/>
  <c r="K34" i="2"/>
  <c r="AE34" i="2" s="1"/>
  <c r="F34" i="2"/>
  <c r="AD34" i="2" s="1"/>
  <c r="Z33" i="2"/>
  <c r="AH33" i="2" s="1"/>
  <c r="U33" i="2"/>
  <c r="AG33" i="2" s="1"/>
  <c r="P33" i="2"/>
  <c r="AF33" i="2" s="1"/>
  <c r="K33" i="2"/>
  <c r="AE33" i="2" s="1"/>
  <c r="F33" i="2"/>
  <c r="AD33" i="2" s="1"/>
  <c r="Z32" i="2"/>
  <c r="AH32" i="2" s="1"/>
  <c r="U32" i="2"/>
  <c r="AG32" i="2" s="1"/>
  <c r="P32" i="2"/>
  <c r="AF32" i="2" s="1"/>
  <c r="K32" i="2"/>
  <c r="AE32" i="2" s="1"/>
  <c r="F32" i="2"/>
  <c r="AD32" i="2" s="1"/>
  <c r="Z31" i="2"/>
  <c r="AH31" i="2" s="1"/>
  <c r="U31" i="2"/>
  <c r="AG31" i="2" s="1"/>
  <c r="P31" i="2"/>
  <c r="AF31" i="2" s="1"/>
  <c r="K31" i="2"/>
  <c r="AE31" i="2" s="1"/>
  <c r="F31" i="2"/>
  <c r="AD31" i="2" s="1"/>
  <c r="Z30" i="2"/>
  <c r="AH30" i="2" s="1"/>
  <c r="U30" i="2"/>
  <c r="AG30" i="2" s="1"/>
  <c r="P30" i="2"/>
  <c r="AF30" i="2" s="1"/>
  <c r="K30" i="2"/>
  <c r="AE30" i="2" s="1"/>
  <c r="F30" i="2"/>
  <c r="AD30" i="2" s="1"/>
  <c r="AE29" i="2"/>
  <c r="Z29" i="2"/>
  <c r="AH29" i="2" s="1"/>
  <c r="U29" i="2"/>
  <c r="AG29" i="2" s="1"/>
  <c r="P29" i="2"/>
  <c r="AF29" i="2" s="1"/>
  <c r="K29" i="2"/>
  <c r="F29" i="2"/>
  <c r="AD29" i="2" s="1"/>
  <c r="Z28" i="2"/>
  <c r="AH28" i="2" s="1"/>
  <c r="U28" i="2"/>
  <c r="AG28" i="2" s="1"/>
  <c r="P28" i="2"/>
  <c r="AF28" i="2" s="1"/>
  <c r="K28" i="2"/>
  <c r="AE28" i="2" s="1"/>
  <c r="F28" i="2"/>
  <c r="AD28" i="2" s="1"/>
  <c r="AH27" i="2"/>
  <c r="Z27" i="2"/>
  <c r="U27" i="2"/>
  <c r="AG27" i="2" s="1"/>
  <c r="P27" i="2"/>
  <c r="AF27" i="2" s="1"/>
  <c r="K27" i="2"/>
  <c r="AE27" i="2" s="1"/>
  <c r="F27" i="2"/>
  <c r="AD27" i="2" s="1"/>
  <c r="Z26" i="2"/>
  <c r="AH26" i="2" s="1"/>
  <c r="U26" i="2"/>
  <c r="AG26" i="2" s="1"/>
  <c r="P26" i="2"/>
  <c r="AF26" i="2" s="1"/>
  <c r="K26" i="2"/>
  <c r="AE26" i="2" s="1"/>
  <c r="F26" i="2"/>
  <c r="AD26" i="2" s="1"/>
  <c r="Z25" i="2"/>
  <c r="AH25" i="2" s="1"/>
  <c r="U25" i="2"/>
  <c r="AG25" i="2" s="1"/>
  <c r="P25" i="2"/>
  <c r="AF25" i="2" s="1"/>
  <c r="K25" i="2"/>
  <c r="AE25" i="2" s="1"/>
  <c r="F25" i="2"/>
  <c r="AD25" i="2" s="1"/>
  <c r="Z24" i="2"/>
  <c r="AH24" i="2" s="1"/>
  <c r="U24" i="2"/>
  <c r="AG24" i="2" s="1"/>
  <c r="P24" i="2"/>
  <c r="AF24" i="2" s="1"/>
  <c r="K24" i="2"/>
  <c r="AE24" i="2" s="1"/>
  <c r="F24" i="2"/>
  <c r="AD24" i="2" s="1"/>
  <c r="Z23" i="2"/>
  <c r="AH23" i="2" s="1"/>
  <c r="U23" i="2"/>
  <c r="AG23" i="2" s="1"/>
  <c r="P23" i="2"/>
  <c r="AF23" i="2" s="1"/>
  <c r="K23" i="2"/>
  <c r="AE23" i="2" s="1"/>
  <c r="F23" i="2"/>
  <c r="AD23" i="2" s="1"/>
  <c r="Z22" i="2"/>
  <c r="AH22" i="2" s="1"/>
  <c r="U22" i="2"/>
  <c r="AG22" i="2" s="1"/>
  <c r="P22" i="2"/>
  <c r="AF22" i="2" s="1"/>
  <c r="K22" i="2"/>
  <c r="AE22" i="2" s="1"/>
  <c r="F22" i="2"/>
  <c r="AD22" i="2" s="1"/>
  <c r="AE21" i="2"/>
  <c r="Z21" i="2"/>
  <c r="AH21" i="2" s="1"/>
  <c r="U21" i="2"/>
  <c r="AG21" i="2" s="1"/>
  <c r="P21" i="2"/>
  <c r="AF21" i="2" s="1"/>
  <c r="K21" i="2"/>
  <c r="F21" i="2"/>
  <c r="AD21" i="2" s="1"/>
  <c r="Z20" i="2"/>
  <c r="AH20" i="2" s="1"/>
  <c r="U20" i="2"/>
  <c r="AG20" i="2" s="1"/>
  <c r="P20" i="2"/>
  <c r="AF20" i="2" s="1"/>
  <c r="K20" i="2"/>
  <c r="AE20" i="2" s="1"/>
  <c r="F20" i="2"/>
  <c r="AD20" i="2" s="1"/>
  <c r="Z19" i="2"/>
  <c r="AH19" i="2" s="1"/>
  <c r="U19" i="2"/>
  <c r="AG19" i="2" s="1"/>
  <c r="P19" i="2"/>
  <c r="AF19" i="2" s="1"/>
  <c r="K19" i="2"/>
  <c r="AE19" i="2" s="1"/>
  <c r="F19" i="2"/>
  <c r="AD19" i="2" s="1"/>
  <c r="Z18" i="2"/>
  <c r="AH18" i="2" s="1"/>
  <c r="U18" i="2"/>
  <c r="AG18" i="2" s="1"/>
  <c r="P18" i="2"/>
  <c r="AF18" i="2" s="1"/>
  <c r="K18" i="2"/>
  <c r="AE18" i="2" s="1"/>
  <c r="F18" i="2"/>
  <c r="AD18" i="2" s="1"/>
  <c r="Z17" i="2"/>
  <c r="AH17" i="2" s="1"/>
  <c r="U17" i="2"/>
  <c r="AG17" i="2" s="1"/>
  <c r="P17" i="2"/>
  <c r="AF17" i="2" s="1"/>
  <c r="K17" i="2"/>
  <c r="AE17" i="2" s="1"/>
  <c r="F17" i="2"/>
  <c r="AD17" i="2" s="1"/>
  <c r="Z16" i="2"/>
  <c r="AH16" i="2" s="1"/>
  <c r="U16" i="2"/>
  <c r="AG16" i="2" s="1"/>
  <c r="P16" i="2"/>
  <c r="AF16" i="2" s="1"/>
  <c r="K16" i="2"/>
  <c r="AE16" i="2" s="1"/>
  <c r="F16" i="2"/>
  <c r="AD16" i="2" s="1"/>
  <c r="Z15" i="2"/>
  <c r="AH15" i="2" s="1"/>
  <c r="U15" i="2"/>
  <c r="AG15" i="2" s="1"/>
  <c r="P15" i="2"/>
  <c r="AF15" i="2" s="1"/>
  <c r="K15" i="2"/>
  <c r="AE15" i="2" s="1"/>
  <c r="F15" i="2"/>
  <c r="AD15" i="2" s="1"/>
  <c r="Z14" i="2"/>
  <c r="AH14" i="2" s="1"/>
  <c r="U14" i="2"/>
  <c r="AG14" i="2" s="1"/>
  <c r="P14" i="2"/>
  <c r="AF14" i="2" s="1"/>
  <c r="K14" i="2"/>
  <c r="AE14" i="2" s="1"/>
  <c r="F14" i="2"/>
  <c r="AD14" i="2" s="1"/>
  <c r="Z13" i="2"/>
  <c r="AH13" i="2" s="1"/>
  <c r="U13" i="2"/>
  <c r="AG13" i="2" s="1"/>
  <c r="P13" i="2"/>
  <c r="AF13" i="2" s="1"/>
  <c r="K13" i="2"/>
  <c r="AE13" i="2" s="1"/>
  <c r="F13" i="2"/>
  <c r="AD13" i="2" s="1"/>
  <c r="Z12" i="2"/>
  <c r="AH12" i="2" s="1"/>
  <c r="U12" i="2"/>
  <c r="AG12" i="2" s="1"/>
  <c r="P12" i="2"/>
  <c r="AF12" i="2" s="1"/>
  <c r="K12" i="2"/>
  <c r="AE12" i="2" s="1"/>
  <c r="F12" i="2"/>
  <c r="AD12" i="2" s="1"/>
  <c r="Z11" i="2"/>
  <c r="AH11" i="2" s="1"/>
  <c r="U11" i="2"/>
  <c r="AG11" i="2" s="1"/>
  <c r="P11" i="2"/>
  <c r="AF11" i="2" s="1"/>
  <c r="K11" i="2"/>
  <c r="AE11" i="2" s="1"/>
  <c r="F11" i="2"/>
  <c r="AD11" i="2" s="1"/>
  <c r="Z10" i="2"/>
  <c r="AH10" i="2" s="1"/>
  <c r="U10" i="2"/>
  <c r="AG10" i="2" s="1"/>
  <c r="P10" i="2"/>
  <c r="AF10" i="2" s="1"/>
  <c r="K10" i="2"/>
  <c r="AE10" i="2" s="1"/>
  <c r="F10" i="2"/>
  <c r="AD10" i="2" s="1"/>
  <c r="AE9" i="2"/>
  <c r="Z9" i="2"/>
  <c r="AH9" i="2" s="1"/>
  <c r="U9" i="2"/>
  <c r="AG9" i="2" s="1"/>
  <c r="P9" i="2"/>
  <c r="AF9" i="2" s="1"/>
  <c r="K9" i="2"/>
  <c r="F9" i="2"/>
  <c r="AD9" i="2" s="1"/>
  <c r="Z8" i="2"/>
  <c r="AH8" i="2" s="1"/>
  <c r="U8" i="2"/>
  <c r="AG8" i="2" s="1"/>
  <c r="P8" i="2"/>
  <c r="AF8" i="2" s="1"/>
  <c r="K8" i="2"/>
  <c r="AE8" i="2" s="1"/>
  <c r="F8" i="2"/>
  <c r="AD8" i="2" s="1"/>
  <c r="Z7" i="2"/>
  <c r="AH7" i="2" s="1"/>
  <c r="U7" i="2"/>
  <c r="AG7" i="2" s="1"/>
  <c r="P7" i="2"/>
  <c r="AF7" i="2" s="1"/>
  <c r="K7" i="2"/>
  <c r="AE7" i="2" s="1"/>
  <c r="F7" i="2"/>
  <c r="AD7" i="2" s="1"/>
  <c r="Z6" i="2"/>
  <c r="AH6" i="2" s="1"/>
  <c r="U6" i="2"/>
  <c r="AG6" i="2" s="1"/>
  <c r="P6" i="2"/>
  <c r="AF6" i="2" s="1"/>
  <c r="K6" i="2"/>
  <c r="AE6" i="2" s="1"/>
  <c r="F6" i="2"/>
  <c r="AD6" i="2" s="1"/>
  <c r="AF5" i="2"/>
  <c r="AE5" i="2"/>
  <c r="Z5" i="2"/>
  <c r="AH5" i="2" s="1"/>
  <c r="U5" i="2"/>
  <c r="AG5" i="2" s="1"/>
  <c r="P5" i="2"/>
  <c r="K5" i="2"/>
  <c r="F5" i="2"/>
  <c r="AD5" i="2" s="1"/>
  <c r="Z4" i="2"/>
  <c r="AH4" i="2" s="1"/>
  <c r="U4" i="2"/>
  <c r="AG4" i="2" s="1"/>
  <c r="P4" i="2"/>
  <c r="AF4" i="2" s="1"/>
  <c r="K4" i="2"/>
  <c r="AE4" i="2" s="1"/>
  <c r="F4" i="2"/>
  <c r="AD4" i="2" s="1"/>
  <c r="F43" i="1"/>
  <c r="E37" i="1"/>
  <c r="E34" i="1"/>
  <c r="E29" i="1"/>
  <c r="E26" i="1"/>
  <c r="E21" i="1"/>
  <c r="E18" i="1"/>
  <c r="E13" i="1"/>
  <c r="E10" i="1"/>
  <c r="E5" i="1"/>
  <c r="E2" i="1"/>
  <c r="W12" i="4" l="1"/>
  <c r="V12" i="4"/>
  <c r="U12" i="4"/>
  <c r="T11" i="4"/>
  <c r="X11" i="4"/>
</calcChain>
</file>

<file path=xl/sharedStrings.xml><?xml version="1.0" encoding="utf-8"?>
<sst xmlns="http://schemas.openxmlformats.org/spreadsheetml/2006/main" count="770" uniqueCount="161">
  <si>
    <t>Week 1</t>
  </si>
  <si>
    <t>Inventory Order List</t>
  </si>
  <si>
    <t>Utensil Order List</t>
  </si>
  <si>
    <t>Week 2</t>
  </si>
  <si>
    <t>Week 3</t>
  </si>
  <si>
    <t>Week 4</t>
  </si>
  <si>
    <t>Week 5</t>
  </si>
  <si>
    <t>Stationary Stock (MONTLY)</t>
  </si>
  <si>
    <t>Inventory listing 2026</t>
  </si>
  <si>
    <t>ITEM</t>
  </si>
  <si>
    <t>Quantity and Unit</t>
  </si>
  <si>
    <t>Status</t>
  </si>
  <si>
    <t>MIN</t>
  </si>
  <si>
    <t>Mayonaise (TELLY)</t>
  </si>
  <si>
    <t>Pack</t>
  </si>
  <si>
    <t>Pineapple Slice (AYAM BRAND)</t>
  </si>
  <si>
    <t>Ctn</t>
  </si>
  <si>
    <t>Magarine (COOKING BRAND)</t>
  </si>
  <si>
    <t>Fructose Syrup ( 18CTEA)</t>
  </si>
  <si>
    <t>Bottle</t>
  </si>
  <si>
    <t>Cooking Oil</t>
  </si>
  <si>
    <t>Tomato Sauce (MAGGI)</t>
  </si>
  <si>
    <t>Chilli Sauce (MAGGI)</t>
  </si>
  <si>
    <t>Chocolate (DUTCH LADY)</t>
  </si>
  <si>
    <t>Box</t>
  </si>
  <si>
    <t>Hash Brown (SIMPLOT)</t>
  </si>
  <si>
    <t>Mineral Water</t>
  </si>
  <si>
    <t>Btl</t>
  </si>
  <si>
    <t>Coca-Cola</t>
  </si>
  <si>
    <t>100 Plus</t>
  </si>
  <si>
    <t>Sencha Japanese Green Tea</t>
  </si>
  <si>
    <t>Bottles</t>
  </si>
  <si>
    <t>Salt</t>
  </si>
  <si>
    <t>Pepper</t>
  </si>
  <si>
    <t>Paprika</t>
  </si>
  <si>
    <t>Chilli Powder</t>
  </si>
  <si>
    <t>Earl grey</t>
  </si>
  <si>
    <t>Thai Milk Tea</t>
  </si>
  <si>
    <t>Thai Green Tea</t>
  </si>
  <si>
    <t>Cheezy Powder</t>
  </si>
  <si>
    <t>Evaporated Milk (CARNATION) [48/CTN]</t>
  </si>
  <si>
    <t>Can</t>
  </si>
  <si>
    <t>Sweetened Milk (TEAPOT)</t>
  </si>
  <si>
    <t>Coffee Mate (NESTLE) - 1KG</t>
  </si>
  <si>
    <t>Pork/ Chicken Powder (3KG MIX)</t>
  </si>
  <si>
    <t>Pork/ Chicken Powder (6KG MIX)</t>
  </si>
  <si>
    <t>Pork/ Chicken Powder (12KG MIX)</t>
  </si>
  <si>
    <t>Beef Powder (6KG MIX)</t>
  </si>
  <si>
    <t>Yuzu Premix</t>
  </si>
  <si>
    <t>S. Yuzu Premix</t>
  </si>
  <si>
    <t>Yuzu Coating Powder</t>
  </si>
  <si>
    <t>S.Yuzu Coating Powder</t>
  </si>
  <si>
    <t>Ogoma Sauce</t>
  </si>
  <si>
    <t>SSS Sauce</t>
  </si>
  <si>
    <t>Yuzu Sauce</t>
  </si>
  <si>
    <t>Curry Sauce</t>
  </si>
  <si>
    <t>Mustard Sauce</t>
  </si>
  <si>
    <t>Peanut Jam</t>
  </si>
  <si>
    <t>Jar</t>
  </si>
  <si>
    <t>Blueberry Jam （1kg）</t>
  </si>
  <si>
    <t>Mentaiko Sauce</t>
  </si>
  <si>
    <t>Untensil Inventory listing 2026 (WEEKLY STOCK)</t>
  </si>
  <si>
    <t>Minimun Order
 Quantity</t>
  </si>
  <si>
    <t>Quantity ＆ Unit</t>
  </si>
  <si>
    <t>Singlet Bag (8' x 12' 500g)</t>
  </si>
  <si>
    <t>PE Singlet Bag (11' x 15' 500g)</t>
  </si>
  <si>
    <t>PE Singlet Bag (13' x 15' 500g)</t>
  </si>
  <si>
    <t>CPE / HD 1 Cup Holder Bag (200pcs)</t>
  </si>
  <si>
    <t>CPE / HD 2 Cup Holder Bag (200pcs)</t>
  </si>
  <si>
    <t>Medium Cup (AP 160z PP Cup)</t>
  </si>
  <si>
    <t>Large Cup (700 PP Cup)</t>
  </si>
  <si>
    <t>Medium Dome Lid (Ap Dome Lid)</t>
  </si>
  <si>
    <t>Large Dome Lid (AO Dome Lid)</t>
  </si>
  <si>
    <t>Large Flat Lid (AO Lid)</t>
  </si>
  <si>
    <t>Hot Cup Lid (10 Pack Per Cttn)</t>
  </si>
  <si>
    <t>10a Double Layer Hot Cup (20 Pack/ Ctn)</t>
  </si>
  <si>
    <t>Large Double Layer Hot Cup (20 Pack/ Ctn)</t>
  </si>
  <si>
    <t>Plastic Spoon (Black)</t>
  </si>
  <si>
    <t>Paper Straw Single Wrap (100's) Small</t>
  </si>
  <si>
    <t>Paper Straw Single Wrap (100's) Large</t>
  </si>
  <si>
    <t>Plastic Bag FF Medium (S/B 20x24 1kg) White</t>
  </si>
  <si>
    <t>Plastic Bag FF Large (S/B 24x28) Red</t>
  </si>
  <si>
    <t>Plastic Bag 8 x 12 500G (White)</t>
  </si>
  <si>
    <t>Plastic Bag 8 x 12 500G (Red)</t>
  </si>
  <si>
    <t>HD pkt 5'x8' @ 500g</t>
  </si>
  <si>
    <t>HD pkt 7x10' @ 1kg</t>
  </si>
  <si>
    <t>Paper Bag  (4" Brown Paper 100's)</t>
  </si>
  <si>
    <t>Paper Bag (4" White Paper Bag)</t>
  </si>
  <si>
    <t>ABBA Food Paper Tray</t>
  </si>
  <si>
    <t>Y500 Black Rec</t>
  </si>
  <si>
    <t>Y750 Black Rec</t>
  </si>
  <si>
    <t>Sauce Plate (BX04)</t>
  </si>
  <si>
    <t>Sauce Container Takeaway (BX245)</t>
  </si>
  <si>
    <t>Herbal Bag 23x30cm (Earl Grey Fliter)</t>
  </si>
  <si>
    <t>Pcs</t>
  </si>
  <si>
    <t>AA Coffee Filter</t>
  </si>
  <si>
    <t>Satay stick ( 14cm/ pack)</t>
  </si>
  <si>
    <t>QTY &amp; Unit</t>
  </si>
  <si>
    <t>Satay stick with SPB logo</t>
  </si>
  <si>
    <t>Packing Paper with logo (Yellow)</t>
  </si>
  <si>
    <t>Paper cup holder with SPB logo</t>
  </si>
  <si>
    <t>Bundle</t>
  </si>
  <si>
    <t>Food Expiring Sticker Label (roll)</t>
  </si>
  <si>
    <t>Roll</t>
  </si>
  <si>
    <t>Logo Solotape</t>
  </si>
  <si>
    <t>Sticker logo (whole set / pcs)</t>
  </si>
  <si>
    <t>Label Sticker Roll 30mm x 40mm（Local）</t>
  </si>
  <si>
    <t>Label Sticker Roll 30mm x 40mm（China）</t>
  </si>
  <si>
    <t>Delivery Thank You Note</t>
  </si>
  <si>
    <t>Delivery Location Note</t>
  </si>
  <si>
    <t>Mop Detergent (BIO PINE / Apple Floor)</t>
  </si>
  <si>
    <t>Washing Detergent (Extra Power Full 10 LITER)</t>
  </si>
  <si>
    <t>Cloth Detergent (Top)</t>
  </si>
  <si>
    <t>Hand Detergent</t>
  </si>
  <si>
    <t>Harpic Toilet Cleaner</t>
  </si>
  <si>
    <t>Degrease Foam Detergent</t>
  </si>
  <si>
    <t>Sponge (Yellow - pcs)</t>
  </si>
  <si>
    <t>Scrub Pad (Green - pcs)</t>
  </si>
  <si>
    <t>Tissue Roll (Toilet)</t>
  </si>
  <si>
    <t>Kitchen Towel</t>
  </si>
  <si>
    <t>Tissue Box Tissue Refill pack ( Half Cut )</t>
  </si>
  <si>
    <t>Garbage Bag ( GT MAX G/B 24x36)</t>
  </si>
  <si>
    <t>Garbage Bag (GT MAX G/B 36 x 48 "2kg)</t>
  </si>
  <si>
    <t>Non Stick Baking Paper (100m x 450mm)</t>
  </si>
  <si>
    <t>Receipt Roll (Pos)</t>
  </si>
  <si>
    <t>Receipt Roll (Panda) - 57x40×10mm</t>
  </si>
  <si>
    <t>Receipt Roll (Hong Leong)</t>
  </si>
  <si>
    <t>Orii Transparent Gloves</t>
  </si>
  <si>
    <t>Nitrile Gloves (S)</t>
  </si>
  <si>
    <t>Nitrile Gloves (M)</t>
  </si>
  <si>
    <t>Nitrile Gloves (L)</t>
  </si>
  <si>
    <t>Disposable Glove (Pack)</t>
  </si>
  <si>
    <t>Disposable Glove (Pack- TaPau Trading)</t>
  </si>
  <si>
    <t>Freshmatic automatic spray cartridge</t>
  </si>
  <si>
    <t>Toilet refresher</t>
  </si>
  <si>
    <t>Min Order</t>
  </si>
  <si>
    <t>Ball pen ( Blue 0.5mm/ 0.7mm)</t>
  </si>
  <si>
    <t>PCS</t>
  </si>
  <si>
    <t>Ball pen ( Black 0.5mm/ 0.7mm)</t>
  </si>
  <si>
    <t>Marker pen ( Blue )</t>
  </si>
  <si>
    <t>Marker pen (Black)</t>
  </si>
  <si>
    <t>White board marker ( any colour )</t>
  </si>
  <si>
    <t>Highlighter ( any colour )</t>
  </si>
  <si>
    <t>Staples ( Length 5mm 1000 staples)</t>
  </si>
  <si>
    <t>BOX</t>
  </si>
  <si>
    <t>Paper clips (100 pcs art. NOTR 031)</t>
  </si>
  <si>
    <t>Blinder clips ( DL6052 Black)</t>
  </si>
  <si>
    <t>Solotape ( visible )</t>
  </si>
  <si>
    <t>ROLL</t>
  </si>
  <si>
    <t>Double tape</t>
  </si>
  <si>
    <t>Cloth duct tape ( any colour )</t>
  </si>
  <si>
    <t>AA Battery</t>
  </si>
  <si>
    <t>AAA Battery</t>
  </si>
  <si>
    <t>Butane Gas Cartridge (only selected menu)</t>
  </si>
  <si>
    <t>CAN</t>
  </si>
  <si>
    <t>Gas Cylinder ( Shell / Petros / Petronas )</t>
  </si>
  <si>
    <t>TONG</t>
  </si>
  <si>
    <t>Towel ( any colour )</t>
  </si>
  <si>
    <t>Track light replacement bulb ( 4000k)</t>
  </si>
  <si>
    <t>Track light replacement bulb ( 6500k)</t>
  </si>
  <si>
    <t>Stationary Intensity listing 2026 (MONTHLY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</si>
</sst>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"/>
    <numFmt numFmtId="165" formatCode="[$-409]d\-mmm"/>
  </numFmts>
  <fonts count="22">
    <font>
      <sz val="11"/>
      <color rgb="FF000000"/>
      <name val="Calibri"/>
      <scheme val="minor"/>
    </font>
    <font>
      <sz val="21"/>
      <name val="Calibri"/>
    </font>
    <font>
      <b/>
      <i/>
      <u/>
      <sz val="13"/>
      <name val="Calibri"/>
    </font>
    <font>
      <sz val="12"/>
      <name val="Calibri"/>
    </font>
    <font>
      <sz val="11"/>
      <name val="Calibri"/>
    </font>
    <font>
      <b/>
      <i/>
      <u/>
      <sz val="13"/>
      <name val="Calibri"/>
    </font>
    <font>
      <b/>
      <i/>
      <u/>
      <sz val="18"/>
      <name val="Calibri"/>
    </font>
    <font>
      <b/>
      <sz val="18"/>
      <color rgb="FF000000"/>
      <name val="Calibri"/>
    </font>
    <font>
      <b/>
      <sz val="6"/>
      <color rgb="FF000000"/>
      <name val="Calibri"/>
    </font>
    <font>
      <b/>
      <sz val="16"/>
      <color rgb="FFFFFFFF"/>
      <name val="Calibri"/>
    </font>
    <font>
      <sz val="16"/>
      <color rgb="FFFFFFFF"/>
      <name val="Calibri"/>
    </font>
    <font>
      <sz val="11"/>
      <name val="Calibri"/>
    </font>
    <font>
      <sz val="6"/>
      <color rgb="FFFFFFFF"/>
      <name val="Calibri"/>
    </font>
    <font>
      <sz val="16"/>
      <color rgb="FF000000"/>
      <name val="Calibri"/>
    </font>
    <font>
      <sz val="6"/>
      <color rgb="FF000000"/>
      <name val="Calibri"/>
    </font>
    <font>
      <sz val="16"/>
      <color rgb="FF000000"/>
      <name val="Helvetica Neue"/>
    </font>
    <font>
      <sz val="6"/>
      <name val="Calibri"/>
    </font>
    <font>
      <b/>
      <sz val="16"/>
      <color rgb="FF000000"/>
      <name val="Calibri"/>
    </font>
    <font>
      <sz val="8"/>
      <color rgb="FFFFFFFF"/>
      <name val="Calibri"/>
    </font>
    <font>
      <sz val="8"/>
      <color rgb="FF000000"/>
      <name val="Calibri"/>
    </font>
    <font>
      <b/>
      <sz val="17"/>
      <color rgb="FF000000"/>
      <name val="Calibri"/>
    </font>
    <font>
      <sz val="16"/>
      <color rgb="FFFFFFFF"/>
      <name val="Helvetica Neue"/>
    </font>
  </fonts>
  <fills count="14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4A4A4A"/>
        <bgColor rgb="FF4A4A4A"/>
      </patternFill>
    </fill>
    <fill>
      <patternFill patternType="solid">
        <fgColor rgb="FFCBCBCB"/>
        <bgColor rgb="FFCBCBCB"/>
      </patternFill>
    </fill>
    <fill>
      <patternFill patternType="solid">
        <fgColor rgb="FFD8D3E0"/>
        <bgColor rgb="FFD8D3E0"/>
      </patternFill>
    </fill>
    <fill>
      <patternFill patternType="solid">
        <fgColor rgb="FFE7E7E7"/>
        <bgColor rgb="FFE7E7E7"/>
      </patternFill>
    </fill>
    <fill>
      <patternFill patternType="solid">
        <fgColor rgb="FFEDEAF0"/>
        <bgColor rgb="FFEDEAF0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D0D8E8"/>
        <bgColor rgb="FFD0D8E8"/>
      </patternFill>
    </fill>
    <fill>
      <patternFill patternType="solid">
        <fgColor rgb="FFDEE7D1"/>
        <bgColor rgb="FFDEE7D1"/>
      </patternFill>
    </fill>
    <fill>
      <patternFill patternType="solid">
        <fgColor rgb="FFE9EDF4"/>
        <bgColor rgb="FFE9EDF4"/>
      </patternFill>
    </fill>
    <fill>
      <patternFill patternType="solid">
        <fgColor rgb="FFEFF3EA"/>
        <bgColor rgb="FFEFF3EA"/>
      </patternFill>
    </fill>
  </fills>
  <borders count="11">
    <border>
      <left/>
      <right/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3" fillId="4" borderId="6" xfId="0" applyNumberFormat="1" applyFont="1" applyFill="1" applyBorder="1" applyAlignment="1">
      <alignment horizontal="center" vertical="center"/>
    </xf>
    <xf numFmtId="165" fontId="14" fillId="4" borderId="6" xfId="0" applyNumberFormat="1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vertical="top" wrapText="1"/>
    </xf>
    <xf numFmtId="0" fontId="13" fillId="4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0" fillId="8" borderId="6" xfId="0" applyFont="1" applyFill="1" applyBorder="1" applyAlignment="1">
      <alignment horizontal="center" vertical="center"/>
    </xf>
    <xf numFmtId="165" fontId="18" fillId="9" borderId="6" xfId="0" applyNumberFormat="1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165" fontId="13" fillId="10" borderId="6" xfId="0" applyNumberFormat="1" applyFont="1" applyFill="1" applyBorder="1" applyAlignment="1">
      <alignment horizontal="center" vertical="center"/>
    </xf>
    <xf numFmtId="165" fontId="19" fillId="11" borderId="6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vertical="top" wrapText="1"/>
    </xf>
    <xf numFmtId="0" fontId="15" fillId="10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vertical="top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4" fillId="11" borderId="6" xfId="0" applyNumberFormat="1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9" fontId="15" fillId="12" borderId="6" xfId="0" applyNumberFormat="1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left" vertical="top" wrapText="1"/>
    </xf>
    <xf numFmtId="0" fontId="13" fillId="10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21" fillId="9" borderId="6" xfId="0" applyFont="1" applyFill="1" applyBorder="1" applyAlignment="1">
      <alignment horizontal="center" wrapText="1"/>
    </xf>
    <xf numFmtId="0" fontId="15" fillId="11" borderId="6" xfId="0" applyFont="1" applyFill="1" applyBorder="1" applyAlignment="1">
      <alignment horizontal="center" wrapText="1"/>
    </xf>
    <xf numFmtId="165" fontId="13" fillId="11" borderId="6" xfId="0" applyNumberFormat="1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left" vertical="top" wrapText="1"/>
    </xf>
    <xf numFmtId="0" fontId="13" fillId="13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left" vertical="top" wrapText="1"/>
    </xf>
    <xf numFmtId="0" fontId="13" fillId="11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9" fontId="15" fillId="13" borderId="6" xfId="0" applyNumberFormat="1" applyFont="1" applyFill="1" applyBorder="1" applyAlignment="1">
      <alignment horizontal="center" vertical="center" wrapText="1"/>
    </xf>
    <xf numFmtId="165" fontId="13" fillId="13" borderId="6" xfId="0" applyNumberFormat="1" applyFont="1" applyFill="1" applyBorder="1" applyAlignment="1">
      <alignment horizontal="center" vertical="center"/>
    </xf>
    <xf numFmtId="9" fontId="15" fillId="11" borderId="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165" fontId="13" fillId="4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17" fillId="0" borderId="8" xfId="0" applyFont="1" applyBorder="1" applyAlignment="1">
      <alignment horizontal="center"/>
    </xf>
    <xf numFmtId="165" fontId="10" fillId="8" borderId="3" xfId="0" applyNumberFormat="1" applyFont="1" applyFill="1" applyBorder="1" applyAlignment="1">
      <alignment horizontal="center" vertical="center"/>
    </xf>
    <xf numFmtId="165" fontId="13" fillId="10" borderId="3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1" fillId="0" borderId="10" xfId="0" applyFont="1" applyBorder="1" applyAlignment="1">
      <alignment vertical="center"/>
    </xf>
    <xf numFmtId="165" fontId="13" fillId="11" borderId="3" xfId="0" applyNumberFormat="1" applyFont="1" applyFill="1" applyBorder="1" applyAlignment="1">
      <alignment horizontal="center" vertical="center"/>
    </xf>
    <xf numFmtId="165" fontId="10" fillId="9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A3" sqref="A3:G3"/>
    </sheetView>
  </sheetViews>
  <sheetFormatPr defaultColWidth="14.42578125" defaultRowHeight="15" customHeight="1"/>
  <cols>
    <col min="1" max="4" width="9" customWidth="1"/>
    <col min="5" max="5" width="9.7109375" customWidth="1"/>
    <col min="6" max="11" width="9" customWidth="1"/>
  </cols>
  <sheetData>
    <row r="1" spans="1:11" ht="27.75">
      <c r="A1" s="1" t="s">
        <v>0</v>
      </c>
    </row>
    <row r="2" spans="1:11" ht="20.25" customHeight="1">
      <c r="A2" s="55" t="s">
        <v>1</v>
      </c>
      <c r="B2" s="51"/>
      <c r="C2" s="51"/>
      <c r="D2" s="51"/>
      <c r="E2" s="52">
        <f>IF('Inventory '!B2="","",'Inventory '!B2)</f>
        <v>46216</v>
      </c>
      <c r="F2" s="51"/>
    </row>
    <row r="3" spans="1:11">
      <c r="A3" s="54" t="e">
        <f ca="1">'Inventory '!A50</f>
        <v>#NAME?</v>
      </c>
      <c r="B3" s="51"/>
      <c r="C3" s="51"/>
      <c r="D3" s="51"/>
      <c r="E3" s="51"/>
      <c r="F3" s="51"/>
      <c r="G3" s="51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1" customHeight="1">
      <c r="A5" s="55" t="s">
        <v>2</v>
      </c>
      <c r="B5" s="51"/>
      <c r="C5" s="51"/>
      <c r="D5" s="51"/>
      <c r="E5" s="52">
        <f>IF('Untensil PG1'!B2="","",'Untensil PG1'!B2)</f>
        <v>46213</v>
      </c>
      <c r="F5" s="51"/>
      <c r="G5" s="2"/>
      <c r="H5" s="2"/>
      <c r="I5" s="2"/>
      <c r="J5" s="2"/>
      <c r="K5" s="2"/>
    </row>
    <row r="6" spans="1:11">
      <c r="A6" s="54" t="e">
        <f ca="1">'Untensil PG1'!A41</f>
        <v>#NAME?</v>
      </c>
      <c r="B6" s="51"/>
      <c r="C6" s="51"/>
      <c r="D6" s="51"/>
      <c r="E6" s="51"/>
      <c r="F6" s="51"/>
      <c r="G6" s="51"/>
      <c r="H6" s="2"/>
      <c r="I6" s="2"/>
      <c r="J6" s="2"/>
      <c r="K6" s="2"/>
    </row>
    <row r="7" spans="1:11">
      <c r="A7" s="54" t="e">
        <f ca="1">'Utensil PG2'!A46</f>
        <v>#NAME?</v>
      </c>
      <c r="B7" s="51"/>
      <c r="C7" s="51"/>
      <c r="D7" s="51"/>
      <c r="E7" s="51"/>
      <c r="F7" s="51"/>
      <c r="G7" s="51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7.75">
      <c r="A9" s="1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7.25">
      <c r="A10" s="53" t="s">
        <v>1</v>
      </c>
      <c r="B10" s="51"/>
      <c r="C10" s="51"/>
      <c r="D10" s="51"/>
      <c r="E10" s="52" t="str">
        <f>IF('Inventory '!G2="","",'Inventory '!G2)</f>
        <v/>
      </c>
      <c r="F10" s="51"/>
      <c r="G10" s="2"/>
      <c r="H10" s="2"/>
      <c r="I10" s="2"/>
      <c r="J10" s="2"/>
      <c r="K10" s="2"/>
    </row>
    <row r="11" spans="1:11">
      <c r="A11" s="54" t="str">
        <f>'Inventory '!A51</f>
        <v/>
      </c>
      <c r="B11" s="51"/>
      <c r="C11" s="51"/>
      <c r="D11" s="51"/>
      <c r="E11" s="51"/>
      <c r="F11" s="51"/>
      <c r="G11" s="51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7.25">
      <c r="A13" s="53" t="s">
        <v>2</v>
      </c>
      <c r="B13" s="51"/>
      <c r="C13" s="51"/>
      <c r="D13" s="51"/>
      <c r="E13" s="52" t="str">
        <f>IF('Untensil PG1'!E2="","",'Untensil PG1'!E2)</f>
        <v/>
      </c>
      <c r="F13" s="51"/>
      <c r="G13" s="2"/>
      <c r="H13" s="2"/>
      <c r="I13" s="2"/>
      <c r="J13" s="2"/>
      <c r="K13" s="2"/>
    </row>
    <row r="14" spans="1:11">
      <c r="A14" s="54" t="str">
        <f>'Untensil PG1'!A42</f>
        <v/>
      </c>
      <c r="B14" s="51"/>
      <c r="C14" s="51"/>
      <c r="D14" s="51"/>
      <c r="E14" s="51"/>
      <c r="F14" s="51"/>
      <c r="G14" s="51"/>
      <c r="H14" s="2"/>
      <c r="I14" s="2"/>
      <c r="J14" s="2"/>
      <c r="K14" s="2"/>
    </row>
    <row r="15" spans="1:11">
      <c r="A15" s="2">
        <f>'Utensil PG2'!A47</f>
        <v>0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7" spans="1:11" ht="27.75">
      <c r="A17" s="1" t="s">
        <v>4</v>
      </c>
    </row>
    <row r="18" spans="1:11" ht="17.25">
      <c r="A18" s="53" t="s">
        <v>1</v>
      </c>
      <c r="B18" s="51"/>
      <c r="C18" s="51"/>
      <c r="D18" s="51"/>
      <c r="E18" s="52" t="str">
        <f>IF('Inventory '!L2="","",'Inventory '!L2)</f>
        <v/>
      </c>
      <c r="F18" s="51"/>
    </row>
    <row r="19" spans="1:11">
      <c r="A19" s="54" t="str">
        <f>'Inventory '!A52</f>
        <v/>
      </c>
      <c r="B19" s="51"/>
      <c r="C19" s="51"/>
      <c r="D19" s="51"/>
      <c r="E19" s="51"/>
      <c r="F19" s="51"/>
      <c r="G19" s="51"/>
      <c r="H19" s="2"/>
      <c r="I19" s="2"/>
      <c r="J19" s="2"/>
      <c r="K19" s="2"/>
    </row>
    <row r="20" spans="1:11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>
      <c r="A21" s="53" t="s">
        <v>2</v>
      </c>
      <c r="B21" s="51"/>
      <c r="C21" s="51"/>
      <c r="D21" s="51"/>
      <c r="E21" s="52" t="str">
        <f>IF('Untensil PG1'!H2="","",'Untensil PG1'!H2)</f>
        <v/>
      </c>
      <c r="F21" s="51"/>
      <c r="G21" s="2"/>
      <c r="H21" s="2"/>
      <c r="I21" s="2"/>
      <c r="J21" s="2"/>
      <c r="K21" s="2"/>
    </row>
    <row r="22" spans="1:11" ht="15.75" customHeight="1">
      <c r="A22" s="2" t="str">
        <f>'Untensil PG1'!A43</f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>
      <c r="A23" s="2" t="str">
        <f>'Utensil PG2'!A48</f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>
      <c r="A25" s="1" t="s">
        <v>5</v>
      </c>
    </row>
    <row r="26" spans="1:11" ht="15.75" customHeight="1">
      <c r="A26" s="53" t="s">
        <v>1</v>
      </c>
      <c r="B26" s="51"/>
      <c r="C26" s="51"/>
      <c r="D26" s="51"/>
      <c r="E26" s="52" t="str">
        <f>IF('Inventory '!Q2="","",'Inventory '!Q2)</f>
        <v/>
      </c>
      <c r="F26" s="51"/>
    </row>
    <row r="27" spans="1:11" ht="15.75" customHeight="1">
      <c r="A27" t="str">
        <f>'Inventory '!A53</f>
        <v/>
      </c>
    </row>
    <row r="28" spans="1:11" ht="15.75" customHeight="1"/>
    <row r="29" spans="1:11" ht="15.75" customHeight="1">
      <c r="A29" s="53" t="s">
        <v>2</v>
      </c>
      <c r="B29" s="51"/>
      <c r="C29" s="51"/>
      <c r="D29" s="51"/>
      <c r="E29" s="52" t="str">
        <f>IF('Untensil PG1'!K2="","",'Untensil PG1'!K2)</f>
        <v/>
      </c>
      <c r="F29" s="51"/>
    </row>
    <row r="30" spans="1:11" ht="15.75" customHeight="1">
      <c r="A30" t="str">
        <f>'Untensil PG1'!A44</f>
        <v/>
      </c>
    </row>
    <row r="31" spans="1:11" ht="15.75" customHeight="1">
      <c r="A31" t="str">
        <f>'Utensil PG2'!A49</f>
        <v/>
      </c>
    </row>
    <row r="32" spans="1:11" ht="15.75" customHeight="1"/>
    <row r="33" spans="1:7" ht="15.75" customHeight="1">
      <c r="A33" s="1" t="s">
        <v>6</v>
      </c>
    </row>
    <row r="34" spans="1:7" ht="15.75" customHeight="1">
      <c r="A34" s="53" t="s">
        <v>1</v>
      </c>
      <c r="B34" s="51"/>
      <c r="C34" s="51"/>
      <c r="D34" s="51"/>
      <c r="E34" s="52" t="str">
        <f>IF('Inventory '!V2="","",'Inventory '!V2)</f>
        <v/>
      </c>
      <c r="F34" s="51"/>
    </row>
    <row r="35" spans="1:7" ht="15.75" customHeight="1">
      <c r="A35" t="str">
        <f>'Inventory '!A54</f>
        <v/>
      </c>
    </row>
    <row r="36" spans="1:7" ht="15.75" customHeight="1"/>
    <row r="37" spans="1:7" ht="15.75" customHeight="1">
      <c r="A37" s="53" t="s">
        <v>2</v>
      </c>
      <c r="B37" s="51"/>
      <c r="C37" s="51"/>
      <c r="D37" s="51"/>
      <c r="E37" s="52" t="str">
        <f>IF('Untensil PG1'!N2="","",'Untensil PG1'!N2)</f>
        <v/>
      </c>
      <c r="F37" s="51"/>
    </row>
    <row r="38" spans="1:7" ht="15.75" customHeight="1">
      <c r="A38" t="str">
        <f>'Untensil PG1'!A45</f>
        <v/>
      </c>
    </row>
    <row r="39" spans="1:7" ht="15.75" customHeight="1">
      <c r="A39" t="str">
        <f>'Utensil PG2'!A50</f>
        <v/>
      </c>
    </row>
    <row r="40" spans="1:7" ht="15.75" customHeight="1"/>
    <row r="41" spans="1:7" ht="15.75" customHeight="1"/>
    <row r="42" spans="1:7" ht="15.75" customHeight="1"/>
    <row r="43" spans="1:7" ht="15.75" customHeight="1">
      <c r="A43" s="50" t="s">
        <v>7</v>
      </c>
      <c r="B43" s="51"/>
      <c r="C43" s="51"/>
      <c r="D43" s="51"/>
      <c r="E43" s="51"/>
      <c r="F43" s="52" t="str">
        <f>IF('Stationary '!B2="","",'Stationary '!B2)</f>
        <v/>
      </c>
      <c r="G43" s="51"/>
    </row>
    <row r="44" spans="1:7" ht="15.75" customHeight="1">
      <c r="A44" t="str">
        <f>'Stationary '!A44</f>
        <v/>
      </c>
    </row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8">
    <mergeCell ref="A14:G14"/>
    <mergeCell ref="E10:F10"/>
    <mergeCell ref="A5:D5"/>
    <mergeCell ref="A2:D2"/>
    <mergeCell ref="A3:G3"/>
    <mergeCell ref="E2:F2"/>
    <mergeCell ref="A13:D13"/>
    <mergeCell ref="E13:F13"/>
    <mergeCell ref="A6:G6"/>
    <mergeCell ref="E5:F5"/>
    <mergeCell ref="A10:D10"/>
    <mergeCell ref="A7:G7"/>
    <mergeCell ref="A11:G11"/>
    <mergeCell ref="A18:D18"/>
    <mergeCell ref="E18:F18"/>
    <mergeCell ref="A21:D21"/>
    <mergeCell ref="A19:G19"/>
    <mergeCell ref="A29:D29"/>
    <mergeCell ref="A26:D26"/>
    <mergeCell ref="E26:F26"/>
    <mergeCell ref="E29:F29"/>
    <mergeCell ref="A43:E43"/>
    <mergeCell ref="E34:F34"/>
    <mergeCell ref="F43:G43"/>
    <mergeCell ref="E21:F21"/>
    <mergeCell ref="A34:D34"/>
    <mergeCell ref="E37:F37"/>
    <mergeCell ref="A37:D3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0"/>
  <sheetViews>
    <sheetView zoomScale="90" zoomScaleNormal="90" workbookViewId="0">
      <selection activeCell="A48" sqref="A48"/>
    </sheetView>
  </sheetViews>
  <sheetFormatPr defaultColWidth="14.42578125" defaultRowHeight="15" customHeight="1"/>
  <cols>
    <col min="1" max="1" width="69.28515625" customWidth="1"/>
    <col min="2" max="2" width="4.42578125" customWidth="1"/>
    <col min="3" max="4" width="6.28515625" customWidth="1"/>
    <col min="5" max="5" width="6" customWidth="1"/>
    <col min="6" max="6" width="7.85546875" hidden="1" customWidth="1"/>
    <col min="7" max="10" width="6.28515625" customWidth="1"/>
    <col min="11" max="11" width="7.85546875" hidden="1" customWidth="1"/>
    <col min="12" max="15" width="6.28515625" customWidth="1"/>
    <col min="16" max="16" width="8" hidden="1" customWidth="1"/>
    <col min="17" max="20" width="6.28515625" customWidth="1"/>
    <col min="21" max="21" width="7.85546875" hidden="1" customWidth="1"/>
    <col min="22" max="25" width="7.85546875" customWidth="1"/>
    <col min="26" max="26" width="7.85546875" hidden="1" customWidth="1"/>
    <col min="27" max="27" width="4.42578125" customWidth="1"/>
    <col min="28" max="29" width="10" customWidth="1"/>
    <col min="30" max="34" width="9" hidden="1" customWidth="1"/>
  </cols>
  <sheetData>
    <row r="1" spans="1:34" ht="23.25">
      <c r="A1" s="61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3"/>
    </row>
    <row r="2" spans="1:34" ht="21">
      <c r="A2" s="62" t="s">
        <v>9</v>
      </c>
      <c r="B2" s="59">
        <v>46216</v>
      </c>
      <c r="C2" s="60"/>
      <c r="D2" s="60"/>
      <c r="E2" s="60"/>
      <c r="F2" s="57"/>
      <c r="G2" s="59"/>
      <c r="H2" s="60"/>
      <c r="I2" s="60"/>
      <c r="J2" s="60"/>
      <c r="K2" s="57"/>
      <c r="L2" s="59"/>
      <c r="M2" s="60"/>
      <c r="N2" s="60"/>
      <c r="O2" s="60"/>
      <c r="P2" s="57"/>
      <c r="Q2" s="59"/>
      <c r="R2" s="60"/>
      <c r="S2" s="60"/>
      <c r="T2" s="60"/>
      <c r="U2" s="57"/>
      <c r="V2" s="59"/>
      <c r="W2" s="60"/>
      <c r="X2" s="60"/>
      <c r="Y2" s="60"/>
      <c r="Z2" s="57"/>
      <c r="AA2" s="4"/>
    </row>
    <row r="3" spans="1:34" ht="21">
      <c r="A3" s="63"/>
      <c r="B3" s="64" t="s">
        <v>10</v>
      </c>
      <c r="C3" s="60"/>
      <c r="D3" s="60"/>
      <c r="E3" s="57"/>
      <c r="F3" s="5" t="s">
        <v>11</v>
      </c>
      <c r="G3" s="64" t="s">
        <v>10</v>
      </c>
      <c r="H3" s="60"/>
      <c r="I3" s="60"/>
      <c r="J3" s="57"/>
      <c r="K3" s="5" t="s">
        <v>11</v>
      </c>
      <c r="L3" s="64" t="s">
        <v>10</v>
      </c>
      <c r="M3" s="60"/>
      <c r="N3" s="60"/>
      <c r="O3" s="57"/>
      <c r="P3" s="5" t="s">
        <v>11</v>
      </c>
      <c r="Q3" s="64" t="s">
        <v>10</v>
      </c>
      <c r="R3" s="60"/>
      <c r="S3" s="60"/>
      <c r="T3" s="57"/>
      <c r="U3" s="5" t="s">
        <v>11</v>
      </c>
      <c r="V3" s="64" t="s">
        <v>10</v>
      </c>
      <c r="W3" s="60"/>
      <c r="X3" s="60"/>
      <c r="Y3" s="57"/>
      <c r="Z3" s="5" t="s">
        <v>11</v>
      </c>
      <c r="AA3" s="6" t="s">
        <v>12</v>
      </c>
    </row>
    <row r="4" spans="1:34" ht="21">
      <c r="A4" s="7" t="s">
        <v>13</v>
      </c>
      <c r="B4" s="56">
        <v>4</v>
      </c>
      <c r="C4" s="57"/>
      <c r="D4" s="56" t="s">
        <v>14</v>
      </c>
      <c r="E4" s="57"/>
      <c r="F4" s="8" t="str">
        <f t="shared" ref="F4:F10" si="0">IF(B4&lt;=$AA4,"Order","")</f>
        <v>Order</v>
      </c>
      <c r="G4" s="56"/>
      <c r="H4" s="57"/>
      <c r="I4" s="56" t="s">
        <v>14</v>
      </c>
      <c r="J4" s="57"/>
      <c r="K4" s="8" t="str">
        <f t="shared" ref="K4:K10" si="1">IF(G4&lt;=$AA4,"Order","")</f>
        <v>Order</v>
      </c>
      <c r="L4" s="56"/>
      <c r="M4" s="57"/>
      <c r="N4" s="56" t="s">
        <v>14</v>
      </c>
      <c r="O4" s="57"/>
      <c r="P4" s="8" t="str">
        <f t="shared" ref="P4:P10" si="2">IF(L4&lt;=$AA4,"Order","")</f>
        <v>Order</v>
      </c>
      <c r="Q4" s="56"/>
      <c r="R4" s="57"/>
      <c r="S4" s="56" t="s">
        <v>14</v>
      </c>
      <c r="T4" s="57"/>
      <c r="U4" s="8" t="str">
        <f t="shared" ref="U4:U10" si="3">IF(Q4&lt;=$AA4,"Order","")</f>
        <v>Order</v>
      </c>
      <c r="V4" s="56"/>
      <c r="W4" s="57"/>
      <c r="X4" s="56" t="s">
        <v>14</v>
      </c>
      <c r="Y4" s="57"/>
      <c r="Z4" s="8" t="str">
        <f t="shared" ref="Z4:Z10" si="4">IF(V4&lt;=$AA4,"Order","")</f>
        <v>Order</v>
      </c>
      <c r="AA4" s="9">
        <v>4</v>
      </c>
      <c r="AD4" t="str">
        <f t="shared" ref="AD4:AD43" si="5">IF(F4="Order",A4,"")</f>
        <v>Mayonaise (TELLY)</v>
      </c>
      <c r="AE4" t="str">
        <f t="shared" ref="AE4:AE43" si="6">IF(K4="Order",A4,"")</f>
        <v>Mayonaise (TELLY)</v>
      </c>
      <c r="AF4" t="str">
        <f t="shared" ref="AF4:AF43" si="7">IF(P4="Order",A4,"")</f>
        <v>Mayonaise (TELLY)</v>
      </c>
      <c r="AG4" t="str">
        <f t="shared" ref="AG4:AG43" si="8">IF(U4="Order",A4,"")</f>
        <v>Mayonaise (TELLY)</v>
      </c>
      <c r="AH4" t="str">
        <f t="shared" ref="AH4:AH43" si="9">IF(Z4="Order",A4,"")</f>
        <v>Mayonaise (TELLY)</v>
      </c>
    </row>
    <row r="5" spans="1:34" ht="21">
      <c r="A5" s="10" t="s">
        <v>15</v>
      </c>
      <c r="B5" s="58">
        <v>2.5</v>
      </c>
      <c r="C5" s="57"/>
      <c r="D5" s="58" t="s">
        <v>16</v>
      </c>
      <c r="E5" s="57"/>
      <c r="F5" s="11" t="str">
        <f t="shared" si="0"/>
        <v>Order</v>
      </c>
      <c r="G5" s="58"/>
      <c r="H5" s="57"/>
      <c r="I5" s="58" t="s">
        <v>16</v>
      </c>
      <c r="J5" s="57"/>
      <c r="K5" s="11" t="str">
        <f t="shared" si="1"/>
        <v>Order</v>
      </c>
      <c r="L5" s="58"/>
      <c r="M5" s="57"/>
      <c r="N5" s="58" t="s">
        <v>16</v>
      </c>
      <c r="O5" s="57"/>
      <c r="P5" s="11" t="str">
        <f t="shared" si="2"/>
        <v>Order</v>
      </c>
      <c r="Q5" s="58"/>
      <c r="R5" s="57"/>
      <c r="S5" s="58" t="s">
        <v>16</v>
      </c>
      <c r="T5" s="57"/>
      <c r="U5" s="11" t="str">
        <f t="shared" si="3"/>
        <v>Order</v>
      </c>
      <c r="V5" s="58"/>
      <c r="W5" s="57"/>
      <c r="X5" s="58" t="s">
        <v>16</v>
      </c>
      <c r="Y5" s="57"/>
      <c r="Z5" s="11" t="str">
        <f t="shared" si="4"/>
        <v>Order</v>
      </c>
      <c r="AA5" s="12">
        <v>12</v>
      </c>
      <c r="AD5" t="str">
        <f t="shared" si="5"/>
        <v>Pineapple Slice (AYAM BRAND)</v>
      </c>
      <c r="AE5" t="str">
        <f t="shared" si="6"/>
        <v>Pineapple Slice (AYAM BRAND)</v>
      </c>
      <c r="AF5" t="str">
        <f t="shared" si="7"/>
        <v>Pineapple Slice (AYAM BRAND)</v>
      </c>
      <c r="AG5" t="str">
        <f t="shared" si="8"/>
        <v>Pineapple Slice (AYAM BRAND)</v>
      </c>
      <c r="AH5" t="str">
        <f t="shared" si="9"/>
        <v>Pineapple Slice (AYAM BRAND)</v>
      </c>
    </row>
    <row r="6" spans="1:34" ht="21">
      <c r="A6" s="7" t="s">
        <v>17</v>
      </c>
      <c r="B6" s="56">
        <v>1.5</v>
      </c>
      <c r="C6" s="57"/>
      <c r="D6" s="56" t="s">
        <v>16</v>
      </c>
      <c r="E6" s="57"/>
      <c r="F6" s="8" t="str">
        <f t="shared" si="0"/>
        <v/>
      </c>
      <c r="G6" s="56"/>
      <c r="H6" s="57"/>
      <c r="I6" s="56" t="s">
        <v>16</v>
      </c>
      <c r="J6" s="57"/>
      <c r="K6" s="8" t="str">
        <f t="shared" si="1"/>
        <v>Order</v>
      </c>
      <c r="L6" s="56"/>
      <c r="M6" s="57"/>
      <c r="N6" s="56" t="s">
        <v>16</v>
      </c>
      <c r="O6" s="57"/>
      <c r="P6" s="8" t="str">
        <f t="shared" si="2"/>
        <v>Order</v>
      </c>
      <c r="Q6" s="56"/>
      <c r="R6" s="57"/>
      <c r="S6" s="56" t="s">
        <v>16</v>
      </c>
      <c r="T6" s="57"/>
      <c r="U6" s="8" t="str">
        <f t="shared" si="3"/>
        <v>Order</v>
      </c>
      <c r="V6" s="56"/>
      <c r="W6" s="57"/>
      <c r="X6" s="56" t="s">
        <v>16</v>
      </c>
      <c r="Y6" s="57"/>
      <c r="Z6" s="8" t="str">
        <f t="shared" si="4"/>
        <v>Order</v>
      </c>
      <c r="AA6" s="9">
        <v>1</v>
      </c>
      <c r="AD6" t="str">
        <f t="shared" si="5"/>
        <v/>
      </c>
      <c r="AE6" t="str">
        <f t="shared" si="6"/>
        <v>Magarine (COOKING BRAND)</v>
      </c>
      <c r="AF6" t="str">
        <f t="shared" si="7"/>
        <v>Magarine (COOKING BRAND)</v>
      </c>
      <c r="AG6" t="str">
        <f t="shared" si="8"/>
        <v>Magarine (COOKING BRAND)</v>
      </c>
      <c r="AH6" t="str">
        <f t="shared" si="9"/>
        <v>Magarine (COOKING BRAND)</v>
      </c>
    </row>
    <row r="7" spans="1:34" ht="21">
      <c r="A7" s="10" t="s">
        <v>18</v>
      </c>
      <c r="B7" s="58">
        <v>1.2</v>
      </c>
      <c r="C7" s="57"/>
      <c r="D7" s="58" t="s">
        <v>19</v>
      </c>
      <c r="E7" s="57"/>
      <c r="F7" s="11" t="str">
        <f t="shared" si="0"/>
        <v/>
      </c>
      <c r="G7" s="58"/>
      <c r="H7" s="57"/>
      <c r="I7" s="58" t="s">
        <v>19</v>
      </c>
      <c r="J7" s="57"/>
      <c r="K7" s="11" t="str">
        <f t="shared" si="1"/>
        <v>Order</v>
      </c>
      <c r="L7" s="58"/>
      <c r="M7" s="57"/>
      <c r="N7" s="58" t="s">
        <v>19</v>
      </c>
      <c r="O7" s="57"/>
      <c r="P7" s="11" t="str">
        <f t="shared" si="2"/>
        <v>Order</v>
      </c>
      <c r="Q7" s="58"/>
      <c r="R7" s="57"/>
      <c r="S7" s="58" t="s">
        <v>19</v>
      </c>
      <c r="T7" s="57"/>
      <c r="U7" s="11" t="str">
        <f t="shared" si="3"/>
        <v>Order</v>
      </c>
      <c r="V7" s="58"/>
      <c r="W7" s="57"/>
      <c r="X7" s="58" t="s">
        <v>19</v>
      </c>
      <c r="Y7" s="57"/>
      <c r="Z7" s="11" t="str">
        <f t="shared" si="4"/>
        <v>Order</v>
      </c>
      <c r="AA7" s="12">
        <v>0.5</v>
      </c>
      <c r="AD7" t="str">
        <f t="shared" si="5"/>
        <v/>
      </c>
      <c r="AE7" t="str">
        <f t="shared" si="6"/>
        <v>Fructose Syrup ( 18CTEA)</v>
      </c>
      <c r="AF7" t="str">
        <f t="shared" si="7"/>
        <v>Fructose Syrup ( 18CTEA)</v>
      </c>
      <c r="AG7" t="str">
        <f t="shared" si="8"/>
        <v>Fructose Syrup ( 18CTEA)</v>
      </c>
      <c r="AH7" t="str">
        <f t="shared" si="9"/>
        <v>Fructose Syrup ( 18CTEA)</v>
      </c>
    </row>
    <row r="8" spans="1:34" ht="21">
      <c r="A8" s="7" t="s">
        <v>20</v>
      </c>
      <c r="B8" s="56">
        <v>16.7</v>
      </c>
      <c r="C8" s="57"/>
      <c r="D8" s="56" t="s">
        <v>19</v>
      </c>
      <c r="E8" s="57"/>
      <c r="F8" s="8" t="str">
        <f t="shared" si="0"/>
        <v/>
      </c>
      <c r="G8" s="56"/>
      <c r="H8" s="57"/>
      <c r="I8" s="56" t="s">
        <v>19</v>
      </c>
      <c r="J8" s="57"/>
      <c r="K8" s="8" t="str">
        <f t="shared" si="1"/>
        <v>Order</v>
      </c>
      <c r="L8" s="56"/>
      <c r="M8" s="57"/>
      <c r="N8" s="56" t="s">
        <v>19</v>
      </c>
      <c r="O8" s="57"/>
      <c r="P8" s="8" t="str">
        <f t="shared" si="2"/>
        <v>Order</v>
      </c>
      <c r="Q8" s="56"/>
      <c r="R8" s="57"/>
      <c r="S8" s="56" t="s">
        <v>19</v>
      </c>
      <c r="T8" s="57"/>
      <c r="U8" s="8" t="str">
        <f t="shared" si="3"/>
        <v>Order</v>
      </c>
      <c r="V8" s="56"/>
      <c r="W8" s="57"/>
      <c r="X8" s="56" t="s">
        <v>19</v>
      </c>
      <c r="Y8" s="57"/>
      <c r="Z8" s="8" t="str">
        <f t="shared" si="4"/>
        <v>Order</v>
      </c>
      <c r="AA8" s="9">
        <v>3</v>
      </c>
      <c r="AD8" t="str">
        <f t="shared" si="5"/>
        <v/>
      </c>
      <c r="AE8" t="str">
        <f t="shared" si="6"/>
        <v>Cooking Oil</v>
      </c>
      <c r="AF8" t="str">
        <f t="shared" si="7"/>
        <v>Cooking Oil</v>
      </c>
      <c r="AG8" t="str">
        <f t="shared" si="8"/>
        <v>Cooking Oil</v>
      </c>
      <c r="AH8" t="str">
        <f t="shared" si="9"/>
        <v>Cooking Oil</v>
      </c>
    </row>
    <row r="9" spans="1:34" ht="19.5" customHeight="1">
      <c r="A9" s="10" t="s">
        <v>21</v>
      </c>
      <c r="B9" s="58">
        <v>0.2</v>
      </c>
      <c r="C9" s="57"/>
      <c r="D9" s="58" t="s">
        <v>14</v>
      </c>
      <c r="E9" s="57"/>
      <c r="F9" s="11" t="str">
        <f t="shared" si="0"/>
        <v/>
      </c>
      <c r="G9" s="58"/>
      <c r="H9" s="57"/>
      <c r="I9" s="58" t="s">
        <v>14</v>
      </c>
      <c r="J9" s="57"/>
      <c r="K9" s="11" t="str">
        <f t="shared" si="1"/>
        <v>Order</v>
      </c>
      <c r="L9" s="58"/>
      <c r="M9" s="57"/>
      <c r="N9" s="58" t="s">
        <v>14</v>
      </c>
      <c r="O9" s="57"/>
      <c r="P9" s="11" t="str">
        <f t="shared" si="2"/>
        <v>Order</v>
      </c>
      <c r="Q9" s="58"/>
      <c r="R9" s="57"/>
      <c r="S9" s="58" t="s">
        <v>14</v>
      </c>
      <c r="T9" s="57"/>
      <c r="U9" s="11" t="str">
        <f t="shared" si="3"/>
        <v>Order</v>
      </c>
      <c r="V9" s="58"/>
      <c r="W9" s="57"/>
      <c r="X9" s="58" t="s">
        <v>14</v>
      </c>
      <c r="Y9" s="57"/>
      <c r="Z9" s="11" t="str">
        <f t="shared" si="4"/>
        <v>Order</v>
      </c>
      <c r="AA9" s="12">
        <v>0</v>
      </c>
      <c r="AD9" t="str">
        <f t="shared" si="5"/>
        <v/>
      </c>
      <c r="AE9" t="str">
        <f t="shared" si="6"/>
        <v>Tomato Sauce (MAGGI)</v>
      </c>
      <c r="AF9" t="str">
        <f t="shared" si="7"/>
        <v>Tomato Sauce (MAGGI)</v>
      </c>
      <c r="AG9" t="str">
        <f t="shared" si="8"/>
        <v>Tomato Sauce (MAGGI)</v>
      </c>
      <c r="AH9" t="str">
        <f t="shared" si="9"/>
        <v>Tomato Sauce (MAGGI)</v>
      </c>
    </row>
    <row r="10" spans="1:34" ht="21">
      <c r="A10" s="7" t="s">
        <v>22</v>
      </c>
      <c r="B10" s="56">
        <v>1.5</v>
      </c>
      <c r="C10" s="57"/>
      <c r="D10" s="56" t="s">
        <v>14</v>
      </c>
      <c r="E10" s="57"/>
      <c r="F10" s="8" t="str">
        <f t="shared" si="0"/>
        <v/>
      </c>
      <c r="G10" s="56"/>
      <c r="H10" s="57"/>
      <c r="I10" s="56" t="s">
        <v>14</v>
      </c>
      <c r="J10" s="57"/>
      <c r="K10" s="8" t="str">
        <f t="shared" si="1"/>
        <v>Order</v>
      </c>
      <c r="L10" s="56"/>
      <c r="M10" s="57"/>
      <c r="N10" s="56" t="s">
        <v>14</v>
      </c>
      <c r="O10" s="57"/>
      <c r="P10" s="8" t="str">
        <f t="shared" si="2"/>
        <v>Order</v>
      </c>
      <c r="Q10" s="56"/>
      <c r="R10" s="57"/>
      <c r="S10" s="56" t="s">
        <v>14</v>
      </c>
      <c r="T10" s="57"/>
      <c r="U10" s="8" t="str">
        <f t="shared" si="3"/>
        <v>Order</v>
      </c>
      <c r="V10" s="56"/>
      <c r="W10" s="57"/>
      <c r="X10" s="56" t="s">
        <v>14</v>
      </c>
      <c r="Y10" s="57"/>
      <c r="Z10" s="8" t="str">
        <f t="shared" si="4"/>
        <v>Order</v>
      </c>
      <c r="AA10" s="9">
        <v>0</v>
      </c>
      <c r="AD10" t="str">
        <f t="shared" si="5"/>
        <v/>
      </c>
      <c r="AE10" t="str">
        <f t="shared" si="6"/>
        <v>Chilli Sauce (MAGGI)</v>
      </c>
      <c r="AF10" t="str">
        <f t="shared" si="7"/>
        <v>Chilli Sauce (MAGGI)</v>
      </c>
      <c r="AG10" t="str">
        <f t="shared" si="8"/>
        <v>Chilli Sauce (MAGGI)</v>
      </c>
      <c r="AH10" t="str">
        <f t="shared" si="9"/>
        <v>Chilli Sauce (MAGGI)</v>
      </c>
    </row>
    <row r="11" spans="1:34" ht="21">
      <c r="A11" s="10" t="s">
        <v>23</v>
      </c>
      <c r="B11" s="11">
        <v>2</v>
      </c>
      <c r="C11" s="11" t="s">
        <v>16</v>
      </c>
      <c r="D11" s="11">
        <v>16</v>
      </c>
      <c r="E11" s="11" t="s">
        <v>24</v>
      </c>
      <c r="F11" s="11" t="str">
        <f>IF(((B11*6)+D11)&lt;=$AA11,"Order","")</f>
        <v/>
      </c>
      <c r="G11" s="11"/>
      <c r="H11" s="11" t="s">
        <v>16</v>
      </c>
      <c r="I11" s="11"/>
      <c r="J11" s="11" t="s">
        <v>24</v>
      </c>
      <c r="K11" s="11" t="str">
        <f>IF(((G11*6)+I11)&lt;=$AA11,"Order","")</f>
        <v>Order</v>
      </c>
      <c r="L11" s="11"/>
      <c r="M11" s="11" t="s">
        <v>16</v>
      </c>
      <c r="N11" s="11"/>
      <c r="O11" s="11" t="s">
        <v>24</v>
      </c>
      <c r="P11" s="11" t="str">
        <f>IF(((L11*6)+N11)&lt;=$AA11,"Order","")</f>
        <v>Order</v>
      </c>
      <c r="Q11" s="11"/>
      <c r="R11" s="11" t="s">
        <v>16</v>
      </c>
      <c r="S11" s="11"/>
      <c r="T11" s="11" t="s">
        <v>24</v>
      </c>
      <c r="U11" s="11" t="str">
        <f>IF(((Q11*6)+S11)&lt;=$AA11,"Order","")</f>
        <v>Order</v>
      </c>
      <c r="V11" s="11"/>
      <c r="W11" s="11" t="s">
        <v>16</v>
      </c>
      <c r="X11" s="11"/>
      <c r="Y11" s="11" t="s">
        <v>24</v>
      </c>
      <c r="Z11" s="11" t="str">
        <f>IF(((V11*6)+X11)&lt;=$AA11,"Order","")</f>
        <v>Order</v>
      </c>
      <c r="AA11" s="12">
        <v>6</v>
      </c>
      <c r="AD11" t="str">
        <f t="shared" si="5"/>
        <v/>
      </c>
      <c r="AE11" t="str">
        <f t="shared" si="6"/>
        <v>Chocolate (DUTCH LADY)</v>
      </c>
      <c r="AF11" t="str">
        <f t="shared" si="7"/>
        <v>Chocolate (DUTCH LADY)</v>
      </c>
      <c r="AG11" t="str">
        <f t="shared" si="8"/>
        <v>Chocolate (DUTCH LADY)</v>
      </c>
      <c r="AH11" t="str">
        <f t="shared" si="9"/>
        <v>Chocolate (DUTCH LADY)</v>
      </c>
    </row>
    <row r="12" spans="1:34" ht="21">
      <c r="A12" s="7" t="s">
        <v>25</v>
      </c>
      <c r="B12" s="56">
        <v>5</v>
      </c>
      <c r="C12" s="57"/>
      <c r="D12" s="56" t="s">
        <v>24</v>
      </c>
      <c r="E12" s="57"/>
      <c r="F12" s="8" t="str">
        <f>IF(B12&lt;=$AA12,"Order","")</f>
        <v>Order</v>
      </c>
      <c r="G12" s="56"/>
      <c r="H12" s="57"/>
      <c r="I12" s="56" t="s">
        <v>24</v>
      </c>
      <c r="J12" s="57"/>
      <c r="K12" s="8" t="str">
        <f>IF(G12&lt;=$AA12,"Order","")</f>
        <v>Order</v>
      </c>
      <c r="L12" s="56"/>
      <c r="M12" s="57"/>
      <c r="N12" s="56" t="s">
        <v>24</v>
      </c>
      <c r="O12" s="57"/>
      <c r="P12" s="8" t="str">
        <f>IF(L12&lt;=$AA12,"Order","")</f>
        <v>Order</v>
      </c>
      <c r="Q12" s="56"/>
      <c r="R12" s="57"/>
      <c r="S12" s="56" t="s">
        <v>24</v>
      </c>
      <c r="T12" s="57"/>
      <c r="U12" s="8" t="str">
        <f>IF(Q12&lt;=$AA12,"Order","")</f>
        <v>Order</v>
      </c>
      <c r="V12" s="56"/>
      <c r="W12" s="57"/>
      <c r="X12" s="56" t="s">
        <v>24</v>
      </c>
      <c r="Y12" s="57"/>
      <c r="Z12" s="8" t="str">
        <f>IF(V12&lt;=$AA12,"Order","")</f>
        <v>Order</v>
      </c>
      <c r="AA12" s="9">
        <v>5</v>
      </c>
      <c r="AD12" t="str">
        <f t="shared" si="5"/>
        <v>Hash Brown (SIMPLOT)</v>
      </c>
      <c r="AE12" t="str">
        <f t="shared" si="6"/>
        <v>Hash Brown (SIMPLOT)</v>
      </c>
      <c r="AF12" t="str">
        <f t="shared" si="7"/>
        <v>Hash Brown (SIMPLOT)</v>
      </c>
      <c r="AG12" t="str">
        <f t="shared" si="8"/>
        <v>Hash Brown (SIMPLOT)</v>
      </c>
      <c r="AH12" t="str">
        <f t="shared" si="9"/>
        <v>Hash Brown (SIMPLOT)</v>
      </c>
    </row>
    <row r="13" spans="1:34" ht="21">
      <c r="A13" s="10" t="s">
        <v>26</v>
      </c>
      <c r="B13" s="11">
        <v>3</v>
      </c>
      <c r="C13" s="11" t="s">
        <v>16</v>
      </c>
      <c r="D13" s="11">
        <v>1</v>
      </c>
      <c r="E13" s="11" t="s">
        <v>27</v>
      </c>
      <c r="F13" s="11" t="str">
        <f t="shared" ref="F13:F15" si="10">IF(((B13*24)+D13)&lt;=$AA13,"Order","")</f>
        <v/>
      </c>
      <c r="G13" s="11"/>
      <c r="H13" s="11" t="s">
        <v>16</v>
      </c>
      <c r="I13" s="11"/>
      <c r="J13" s="11" t="s">
        <v>27</v>
      </c>
      <c r="K13" s="11" t="str">
        <f t="shared" ref="K13:K15" si="11">IF(((G13*24)+I13)&lt;=$AA13,"Order","")</f>
        <v>Order</v>
      </c>
      <c r="L13" s="11"/>
      <c r="M13" s="11" t="s">
        <v>16</v>
      </c>
      <c r="N13" s="11"/>
      <c r="O13" s="11" t="s">
        <v>27</v>
      </c>
      <c r="P13" s="11" t="str">
        <f t="shared" ref="P13:P15" si="12">IF(((L13*24)+N13)&lt;=$AA13,"Order","")</f>
        <v>Order</v>
      </c>
      <c r="Q13" s="11"/>
      <c r="R13" s="11" t="s">
        <v>16</v>
      </c>
      <c r="S13" s="11"/>
      <c r="T13" s="11" t="s">
        <v>27</v>
      </c>
      <c r="U13" s="11" t="str">
        <f t="shared" ref="U13:U15" si="13">IF(((Q13*24)+S13)&lt;=$AA13,"Order","")</f>
        <v>Order</v>
      </c>
      <c r="V13" s="11"/>
      <c r="W13" s="11" t="s">
        <v>16</v>
      </c>
      <c r="X13" s="11"/>
      <c r="Y13" s="11" t="s">
        <v>27</v>
      </c>
      <c r="Z13" s="11" t="str">
        <f t="shared" ref="Z13:Z15" si="14">IF(((V13*24)+X13)&lt;=$AA13,"Order","")</f>
        <v>Order</v>
      </c>
      <c r="AA13" s="12">
        <v>48</v>
      </c>
      <c r="AD13" t="str">
        <f t="shared" si="5"/>
        <v/>
      </c>
      <c r="AE13" t="str">
        <f t="shared" si="6"/>
        <v>Mineral Water</v>
      </c>
      <c r="AF13" t="str">
        <f t="shared" si="7"/>
        <v>Mineral Water</v>
      </c>
      <c r="AG13" t="str">
        <f t="shared" si="8"/>
        <v>Mineral Water</v>
      </c>
      <c r="AH13" t="str">
        <f t="shared" si="9"/>
        <v>Mineral Water</v>
      </c>
    </row>
    <row r="14" spans="1:34" ht="21">
      <c r="A14" s="7" t="s">
        <v>28</v>
      </c>
      <c r="B14" s="8">
        <v>1</v>
      </c>
      <c r="C14" s="8" t="s">
        <v>16</v>
      </c>
      <c r="D14" s="8">
        <v>21</v>
      </c>
      <c r="E14" s="8" t="s">
        <v>27</v>
      </c>
      <c r="F14" s="8" t="str">
        <f t="shared" si="10"/>
        <v>Order</v>
      </c>
      <c r="G14" s="8"/>
      <c r="H14" s="8" t="s">
        <v>16</v>
      </c>
      <c r="I14" s="8"/>
      <c r="J14" s="8" t="s">
        <v>27</v>
      </c>
      <c r="K14" s="8" t="str">
        <f t="shared" si="11"/>
        <v>Order</v>
      </c>
      <c r="L14" s="8"/>
      <c r="M14" s="8" t="s">
        <v>16</v>
      </c>
      <c r="N14" s="8"/>
      <c r="O14" s="8" t="s">
        <v>27</v>
      </c>
      <c r="P14" s="8" t="str">
        <f t="shared" si="12"/>
        <v>Order</v>
      </c>
      <c r="Q14" s="8"/>
      <c r="R14" s="8" t="s">
        <v>16</v>
      </c>
      <c r="S14" s="8"/>
      <c r="T14" s="8" t="s">
        <v>27</v>
      </c>
      <c r="U14" s="8" t="str">
        <f t="shared" si="13"/>
        <v>Order</v>
      </c>
      <c r="V14" s="8"/>
      <c r="W14" s="8" t="s">
        <v>16</v>
      </c>
      <c r="X14" s="8"/>
      <c r="Y14" s="8" t="s">
        <v>27</v>
      </c>
      <c r="Z14" s="8" t="str">
        <f t="shared" si="14"/>
        <v>Order</v>
      </c>
      <c r="AA14" s="9">
        <v>48</v>
      </c>
      <c r="AD14" t="str">
        <f t="shared" si="5"/>
        <v>Coca-Cola</v>
      </c>
      <c r="AE14" t="str">
        <f t="shared" si="6"/>
        <v>Coca-Cola</v>
      </c>
      <c r="AF14" t="str">
        <f t="shared" si="7"/>
        <v>Coca-Cola</v>
      </c>
      <c r="AG14" t="str">
        <f t="shared" si="8"/>
        <v>Coca-Cola</v>
      </c>
      <c r="AH14" t="str">
        <f t="shared" si="9"/>
        <v>Coca-Cola</v>
      </c>
    </row>
    <row r="15" spans="1:34" ht="21">
      <c r="A15" s="10" t="s">
        <v>29</v>
      </c>
      <c r="B15" s="11">
        <v>1</v>
      </c>
      <c r="C15" s="11" t="s">
        <v>16</v>
      </c>
      <c r="D15" s="11">
        <v>9</v>
      </c>
      <c r="E15" s="11" t="s">
        <v>27</v>
      </c>
      <c r="F15" s="11" t="str">
        <f t="shared" si="10"/>
        <v>Order</v>
      </c>
      <c r="G15" s="11"/>
      <c r="H15" s="11" t="s">
        <v>16</v>
      </c>
      <c r="I15" s="11"/>
      <c r="J15" s="11" t="s">
        <v>27</v>
      </c>
      <c r="K15" s="11" t="str">
        <f t="shared" si="11"/>
        <v>Order</v>
      </c>
      <c r="L15" s="11"/>
      <c r="M15" s="11" t="s">
        <v>16</v>
      </c>
      <c r="N15" s="11"/>
      <c r="O15" s="11" t="s">
        <v>27</v>
      </c>
      <c r="P15" s="11" t="str">
        <f t="shared" si="12"/>
        <v>Order</v>
      </c>
      <c r="Q15" s="11"/>
      <c r="R15" s="11" t="s">
        <v>16</v>
      </c>
      <c r="S15" s="11"/>
      <c r="T15" s="11" t="s">
        <v>27</v>
      </c>
      <c r="U15" s="11" t="str">
        <f t="shared" si="13"/>
        <v>Order</v>
      </c>
      <c r="V15" s="11"/>
      <c r="W15" s="11" t="s">
        <v>16</v>
      </c>
      <c r="X15" s="11"/>
      <c r="Y15" s="11" t="s">
        <v>27</v>
      </c>
      <c r="Z15" s="11" t="str">
        <f t="shared" si="14"/>
        <v>Order</v>
      </c>
      <c r="AA15" s="12">
        <v>48</v>
      </c>
      <c r="AD15" t="str">
        <f t="shared" si="5"/>
        <v>100 Plus</v>
      </c>
      <c r="AE15" t="str">
        <f t="shared" si="6"/>
        <v>100 Plus</v>
      </c>
      <c r="AF15" t="str">
        <f t="shared" si="7"/>
        <v>100 Plus</v>
      </c>
      <c r="AG15" t="str">
        <f t="shared" si="8"/>
        <v>100 Plus</v>
      </c>
      <c r="AH15" t="str">
        <f t="shared" si="9"/>
        <v>100 Plus</v>
      </c>
    </row>
    <row r="16" spans="1:34" ht="21">
      <c r="A16" s="7" t="s">
        <v>30</v>
      </c>
      <c r="B16" s="56">
        <v>40</v>
      </c>
      <c r="C16" s="57"/>
      <c r="D16" s="56" t="s">
        <v>31</v>
      </c>
      <c r="E16" s="57"/>
      <c r="F16" s="8" t="str">
        <f t="shared" ref="F16:F24" si="15">IF(B16&lt;=$AA16,"Order","")</f>
        <v>Order</v>
      </c>
      <c r="G16" s="56"/>
      <c r="H16" s="57"/>
      <c r="I16" s="56" t="s">
        <v>31</v>
      </c>
      <c r="J16" s="57"/>
      <c r="K16" s="8" t="str">
        <f t="shared" ref="K16:K24" si="16">IF(G16&lt;=$AA16,"Order","")</f>
        <v>Order</v>
      </c>
      <c r="L16" s="56"/>
      <c r="M16" s="57"/>
      <c r="N16" s="56" t="s">
        <v>31</v>
      </c>
      <c r="O16" s="57"/>
      <c r="P16" s="8" t="str">
        <f t="shared" ref="P16:P24" si="17">IF(L16&lt;=$AA16,"Order","")</f>
        <v>Order</v>
      </c>
      <c r="Q16" s="56"/>
      <c r="R16" s="57"/>
      <c r="S16" s="56" t="s">
        <v>31</v>
      </c>
      <c r="T16" s="57"/>
      <c r="U16" s="8" t="str">
        <f t="shared" ref="U16:U24" si="18">IF(Q16&lt;=$AA16,"Order","")</f>
        <v>Order</v>
      </c>
      <c r="V16" s="56"/>
      <c r="W16" s="57"/>
      <c r="X16" s="56" t="s">
        <v>31</v>
      </c>
      <c r="Y16" s="57"/>
      <c r="Z16" s="8" t="str">
        <f t="shared" ref="Z16:Z24" si="19">IF(V16&lt;=$AA16,"Order","")</f>
        <v>Order</v>
      </c>
      <c r="AA16" s="9">
        <v>40</v>
      </c>
      <c r="AD16" t="str">
        <f t="shared" si="5"/>
        <v>Sencha Japanese Green Tea</v>
      </c>
      <c r="AE16" t="str">
        <f t="shared" si="6"/>
        <v>Sencha Japanese Green Tea</v>
      </c>
      <c r="AF16" t="str">
        <f t="shared" si="7"/>
        <v>Sencha Japanese Green Tea</v>
      </c>
      <c r="AG16" t="str">
        <f t="shared" si="8"/>
        <v>Sencha Japanese Green Tea</v>
      </c>
      <c r="AH16" t="str">
        <f t="shared" si="9"/>
        <v>Sencha Japanese Green Tea</v>
      </c>
    </row>
    <row r="17" spans="1:34" ht="21">
      <c r="A17" s="10" t="s">
        <v>32</v>
      </c>
      <c r="B17" s="58">
        <v>0.2</v>
      </c>
      <c r="C17" s="57"/>
      <c r="D17" s="58" t="s">
        <v>14</v>
      </c>
      <c r="E17" s="57"/>
      <c r="F17" s="11" t="str">
        <f t="shared" si="15"/>
        <v/>
      </c>
      <c r="G17" s="58"/>
      <c r="H17" s="57"/>
      <c r="I17" s="58" t="s">
        <v>14</v>
      </c>
      <c r="J17" s="57"/>
      <c r="K17" s="11" t="str">
        <f t="shared" si="16"/>
        <v>Order</v>
      </c>
      <c r="L17" s="58"/>
      <c r="M17" s="57"/>
      <c r="N17" s="58" t="s">
        <v>14</v>
      </c>
      <c r="O17" s="57"/>
      <c r="P17" s="11" t="str">
        <f t="shared" si="17"/>
        <v>Order</v>
      </c>
      <c r="Q17" s="58"/>
      <c r="R17" s="57"/>
      <c r="S17" s="58" t="s">
        <v>14</v>
      </c>
      <c r="T17" s="57"/>
      <c r="U17" s="11" t="str">
        <f t="shared" si="18"/>
        <v>Order</v>
      </c>
      <c r="V17" s="58"/>
      <c r="W17" s="57"/>
      <c r="X17" s="58" t="s">
        <v>14</v>
      </c>
      <c r="Y17" s="57"/>
      <c r="Z17" s="11" t="str">
        <f t="shared" si="19"/>
        <v>Order</v>
      </c>
      <c r="AA17" s="12">
        <v>0</v>
      </c>
      <c r="AD17" t="str">
        <f t="shared" si="5"/>
        <v/>
      </c>
      <c r="AE17" t="str">
        <f t="shared" si="6"/>
        <v>Salt</v>
      </c>
      <c r="AF17" t="str">
        <f t="shared" si="7"/>
        <v>Salt</v>
      </c>
      <c r="AG17" t="str">
        <f t="shared" si="8"/>
        <v>Salt</v>
      </c>
      <c r="AH17" t="str">
        <f t="shared" si="9"/>
        <v>Salt</v>
      </c>
    </row>
    <row r="18" spans="1:34" ht="21">
      <c r="A18" s="7" t="s">
        <v>33</v>
      </c>
      <c r="B18" s="56">
        <v>1</v>
      </c>
      <c r="C18" s="57"/>
      <c r="D18" s="56" t="s">
        <v>14</v>
      </c>
      <c r="E18" s="57"/>
      <c r="F18" s="8" t="str">
        <f t="shared" si="15"/>
        <v/>
      </c>
      <c r="G18" s="56"/>
      <c r="H18" s="57"/>
      <c r="I18" s="56" t="s">
        <v>14</v>
      </c>
      <c r="J18" s="57"/>
      <c r="K18" s="8" t="str">
        <f t="shared" si="16"/>
        <v>Order</v>
      </c>
      <c r="L18" s="56"/>
      <c r="M18" s="57"/>
      <c r="N18" s="56" t="s">
        <v>14</v>
      </c>
      <c r="O18" s="57"/>
      <c r="P18" s="8" t="str">
        <f t="shared" si="17"/>
        <v>Order</v>
      </c>
      <c r="Q18" s="56"/>
      <c r="R18" s="57"/>
      <c r="S18" s="56" t="s">
        <v>14</v>
      </c>
      <c r="T18" s="57"/>
      <c r="U18" s="8" t="str">
        <f t="shared" si="18"/>
        <v>Order</v>
      </c>
      <c r="V18" s="56"/>
      <c r="W18" s="57"/>
      <c r="X18" s="56" t="s">
        <v>14</v>
      </c>
      <c r="Y18" s="57"/>
      <c r="Z18" s="8" t="str">
        <f t="shared" si="19"/>
        <v>Order</v>
      </c>
      <c r="AA18" s="9">
        <v>0.5</v>
      </c>
      <c r="AD18" t="str">
        <f t="shared" si="5"/>
        <v/>
      </c>
      <c r="AE18" t="str">
        <f t="shared" si="6"/>
        <v>Pepper</v>
      </c>
      <c r="AF18" t="str">
        <f t="shared" si="7"/>
        <v>Pepper</v>
      </c>
      <c r="AG18" t="str">
        <f t="shared" si="8"/>
        <v>Pepper</v>
      </c>
      <c r="AH18" t="str">
        <f t="shared" si="9"/>
        <v>Pepper</v>
      </c>
    </row>
    <row r="19" spans="1:34" ht="21">
      <c r="A19" s="10" t="s">
        <v>34</v>
      </c>
      <c r="B19" s="58">
        <v>0</v>
      </c>
      <c r="C19" s="57"/>
      <c r="D19" s="58" t="s">
        <v>31</v>
      </c>
      <c r="E19" s="57"/>
      <c r="F19" s="11" t="str">
        <f t="shared" si="15"/>
        <v>Order</v>
      </c>
      <c r="G19" s="58"/>
      <c r="H19" s="57"/>
      <c r="I19" s="58" t="s">
        <v>31</v>
      </c>
      <c r="J19" s="57"/>
      <c r="K19" s="11" t="str">
        <f t="shared" si="16"/>
        <v>Order</v>
      </c>
      <c r="L19" s="58"/>
      <c r="M19" s="57"/>
      <c r="N19" s="58" t="s">
        <v>31</v>
      </c>
      <c r="O19" s="57"/>
      <c r="P19" s="11" t="str">
        <f t="shared" si="17"/>
        <v>Order</v>
      </c>
      <c r="Q19" s="58"/>
      <c r="R19" s="57"/>
      <c r="S19" s="58" t="s">
        <v>31</v>
      </c>
      <c r="T19" s="57"/>
      <c r="U19" s="11" t="str">
        <f t="shared" si="18"/>
        <v>Order</v>
      </c>
      <c r="V19" s="58"/>
      <c r="W19" s="57"/>
      <c r="X19" s="58" t="s">
        <v>31</v>
      </c>
      <c r="Y19" s="57"/>
      <c r="Z19" s="11" t="str">
        <f t="shared" si="19"/>
        <v>Order</v>
      </c>
      <c r="AA19" s="12">
        <v>0.5</v>
      </c>
      <c r="AD19" t="str">
        <f t="shared" si="5"/>
        <v>Paprika</v>
      </c>
      <c r="AE19" t="str">
        <f t="shared" si="6"/>
        <v>Paprika</v>
      </c>
      <c r="AF19" t="str">
        <f t="shared" si="7"/>
        <v>Paprika</v>
      </c>
      <c r="AG19" t="str">
        <f t="shared" si="8"/>
        <v>Paprika</v>
      </c>
      <c r="AH19" t="str">
        <f t="shared" si="9"/>
        <v>Paprika</v>
      </c>
    </row>
    <row r="20" spans="1:34" ht="21">
      <c r="A20" s="7" t="s">
        <v>35</v>
      </c>
      <c r="B20" s="56">
        <v>0</v>
      </c>
      <c r="C20" s="57"/>
      <c r="D20" s="56" t="s">
        <v>14</v>
      </c>
      <c r="E20" s="57"/>
      <c r="F20" s="8" t="str">
        <f t="shared" si="15"/>
        <v>Order</v>
      </c>
      <c r="G20" s="56"/>
      <c r="H20" s="57"/>
      <c r="I20" s="56" t="s">
        <v>14</v>
      </c>
      <c r="J20" s="57"/>
      <c r="K20" s="8" t="str">
        <f t="shared" si="16"/>
        <v>Order</v>
      </c>
      <c r="L20" s="56"/>
      <c r="M20" s="57"/>
      <c r="N20" s="56" t="s">
        <v>14</v>
      </c>
      <c r="O20" s="57"/>
      <c r="P20" s="8" t="str">
        <f t="shared" si="17"/>
        <v>Order</v>
      </c>
      <c r="Q20" s="56"/>
      <c r="R20" s="57"/>
      <c r="S20" s="56" t="s">
        <v>14</v>
      </c>
      <c r="T20" s="57"/>
      <c r="U20" s="8" t="str">
        <f t="shared" si="18"/>
        <v>Order</v>
      </c>
      <c r="V20" s="56"/>
      <c r="W20" s="57"/>
      <c r="X20" s="56" t="s">
        <v>14</v>
      </c>
      <c r="Y20" s="57"/>
      <c r="Z20" s="8" t="str">
        <f t="shared" si="19"/>
        <v>Order</v>
      </c>
      <c r="AA20" s="9">
        <v>0.5</v>
      </c>
      <c r="AD20" t="str">
        <f t="shared" si="5"/>
        <v>Chilli Powder</v>
      </c>
      <c r="AE20" t="str">
        <f t="shared" si="6"/>
        <v>Chilli Powder</v>
      </c>
      <c r="AF20" t="str">
        <f t="shared" si="7"/>
        <v>Chilli Powder</v>
      </c>
      <c r="AG20" t="str">
        <f t="shared" si="8"/>
        <v>Chilli Powder</v>
      </c>
      <c r="AH20" t="str">
        <f t="shared" si="9"/>
        <v>Chilli Powder</v>
      </c>
    </row>
    <row r="21" spans="1:34" ht="15.75" customHeight="1">
      <c r="A21" s="10" t="s">
        <v>36</v>
      </c>
      <c r="B21" s="58">
        <v>28</v>
      </c>
      <c r="C21" s="57"/>
      <c r="D21" s="58" t="s">
        <v>14</v>
      </c>
      <c r="E21" s="57"/>
      <c r="F21" s="11" t="str">
        <f t="shared" si="15"/>
        <v/>
      </c>
      <c r="G21" s="58"/>
      <c r="H21" s="57"/>
      <c r="I21" s="58" t="s">
        <v>14</v>
      </c>
      <c r="J21" s="57"/>
      <c r="K21" s="11" t="str">
        <f t="shared" si="16"/>
        <v>Order</v>
      </c>
      <c r="L21" s="58"/>
      <c r="M21" s="57"/>
      <c r="N21" s="58" t="s">
        <v>14</v>
      </c>
      <c r="O21" s="57"/>
      <c r="P21" s="11" t="str">
        <f t="shared" si="17"/>
        <v>Order</v>
      </c>
      <c r="Q21" s="58"/>
      <c r="R21" s="57"/>
      <c r="S21" s="58" t="s">
        <v>14</v>
      </c>
      <c r="T21" s="57"/>
      <c r="U21" s="11" t="str">
        <f t="shared" si="18"/>
        <v>Order</v>
      </c>
      <c r="V21" s="58"/>
      <c r="W21" s="57"/>
      <c r="X21" s="58" t="s">
        <v>14</v>
      </c>
      <c r="Y21" s="57"/>
      <c r="Z21" s="11" t="str">
        <f t="shared" si="19"/>
        <v>Order</v>
      </c>
      <c r="AA21" s="12">
        <v>6</v>
      </c>
      <c r="AD21" t="str">
        <f t="shared" si="5"/>
        <v/>
      </c>
      <c r="AE21" t="str">
        <f t="shared" si="6"/>
        <v>Earl grey</v>
      </c>
      <c r="AF21" t="str">
        <f t="shared" si="7"/>
        <v>Earl grey</v>
      </c>
      <c r="AG21" t="str">
        <f t="shared" si="8"/>
        <v>Earl grey</v>
      </c>
      <c r="AH21" t="str">
        <f t="shared" si="9"/>
        <v>Earl grey</v>
      </c>
    </row>
    <row r="22" spans="1:34" ht="15.75" customHeight="1">
      <c r="A22" s="7" t="s">
        <v>37</v>
      </c>
      <c r="B22" s="56">
        <v>10</v>
      </c>
      <c r="C22" s="57"/>
      <c r="D22" s="56" t="s">
        <v>14</v>
      </c>
      <c r="E22" s="57"/>
      <c r="F22" s="8" t="str">
        <f t="shared" si="15"/>
        <v>Order</v>
      </c>
      <c r="G22" s="56"/>
      <c r="H22" s="57"/>
      <c r="I22" s="56" t="s">
        <v>14</v>
      </c>
      <c r="J22" s="57"/>
      <c r="K22" s="8" t="str">
        <f t="shared" si="16"/>
        <v>Order</v>
      </c>
      <c r="L22" s="56"/>
      <c r="M22" s="57"/>
      <c r="N22" s="56" t="s">
        <v>14</v>
      </c>
      <c r="O22" s="57"/>
      <c r="P22" s="8" t="str">
        <f t="shared" si="17"/>
        <v>Order</v>
      </c>
      <c r="Q22" s="56"/>
      <c r="R22" s="57"/>
      <c r="S22" s="56" t="s">
        <v>14</v>
      </c>
      <c r="T22" s="57"/>
      <c r="U22" s="8" t="str">
        <f t="shared" si="18"/>
        <v>Order</v>
      </c>
      <c r="V22" s="56"/>
      <c r="W22" s="57"/>
      <c r="X22" s="56" t="s">
        <v>14</v>
      </c>
      <c r="Y22" s="57"/>
      <c r="Z22" s="8" t="str">
        <f t="shared" si="19"/>
        <v>Order</v>
      </c>
      <c r="AA22" s="9">
        <v>15</v>
      </c>
      <c r="AD22" t="str">
        <f t="shared" si="5"/>
        <v>Thai Milk Tea</v>
      </c>
      <c r="AE22" t="str">
        <f t="shared" si="6"/>
        <v>Thai Milk Tea</v>
      </c>
      <c r="AF22" t="str">
        <f t="shared" si="7"/>
        <v>Thai Milk Tea</v>
      </c>
      <c r="AG22" t="str">
        <f t="shared" si="8"/>
        <v>Thai Milk Tea</v>
      </c>
      <c r="AH22" t="str">
        <f t="shared" si="9"/>
        <v>Thai Milk Tea</v>
      </c>
    </row>
    <row r="23" spans="1:34" ht="15.75" customHeight="1">
      <c r="A23" s="10" t="s">
        <v>38</v>
      </c>
      <c r="B23" s="58">
        <v>23</v>
      </c>
      <c r="C23" s="57"/>
      <c r="D23" s="58" t="s">
        <v>14</v>
      </c>
      <c r="E23" s="57"/>
      <c r="F23" s="11" t="str">
        <f t="shared" si="15"/>
        <v/>
      </c>
      <c r="G23" s="58"/>
      <c r="H23" s="57"/>
      <c r="I23" s="58" t="s">
        <v>14</v>
      </c>
      <c r="J23" s="57"/>
      <c r="K23" s="11" t="str">
        <f t="shared" si="16"/>
        <v>Order</v>
      </c>
      <c r="L23" s="58"/>
      <c r="M23" s="57"/>
      <c r="N23" s="58" t="s">
        <v>14</v>
      </c>
      <c r="O23" s="57"/>
      <c r="P23" s="11" t="str">
        <f t="shared" si="17"/>
        <v>Order</v>
      </c>
      <c r="Q23" s="58"/>
      <c r="R23" s="57"/>
      <c r="S23" s="58" t="s">
        <v>14</v>
      </c>
      <c r="T23" s="57"/>
      <c r="U23" s="11" t="str">
        <f t="shared" si="18"/>
        <v>Order</v>
      </c>
      <c r="V23" s="58"/>
      <c r="W23" s="57"/>
      <c r="X23" s="58" t="s">
        <v>14</v>
      </c>
      <c r="Y23" s="57"/>
      <c r="Z23" s="11" t="str">
        <f t="shared" si="19"/>
        <v>Order</v>
      </c>
      <c r="AA23" s="12">
        <v>15</v>
      </c>
      <c r="AD23" t="str">
        <f t="shared" si="5"/>
        <v/>
      </c>
      <c r="AE23" t="str">
        <f t="shared" si="6"/>
        <v>Thai Green Tea</v>
      </c>
      <c r="AF23" t="str">
        <f t="shared" si="7"/>
        <v>Thai Green Tea</v>
      </c>
      <c r="AG23" t="str">
        <f t="shared" si="8"/>
        <v>Thai Green Tea</v>
      </c>
      <c r="AH23" t="str">
        <f t="shared" si="9"/>
        <v>Thai Green Tea</v>
      </c>
    </row>
    <row r="24" spans="1:34" ht="15.75" customHeight="1">
      <c r="A24" s="7" t="s">
        <v>39</v>
      </c>
      <c r="B24" s="56">
        <v>6</v>
      </c>
      <c r="C24" s="57"/>
      <c r="D24" s="56" t="s">
        <v>14</v>
      </c>
      <c r="E24" s="57"/>
      <c r="F24" s="8" t="str">
        <f t="shared" si="15"/>
        <v>Order</v>
      </c>
      <c r="G24" s="56"/>
      <c r="H24" s="57"/>
      <c r="I24" s="56" t="s">
        <v>14</v>
      </c>
      <c r="J24" s="57"/>
      <c r="K24" s="8" t="str">
        <f t="shared" si="16"/>
        <v>Order</v>
      </c>
      <c r="L24" s="56"/>
      <c r="M24" s="57"/>
      <c r="N24" s="56" t="s">
        <v>14</v>
      </c>
      <c r="O24" s="57"/>
      <c r="P24" s="8" t="str">
        <f t="shared" si="17"/>
        <v>Order</v>
      </c>
      <c r="Q24" s="56"/>
      <c r="R24" s="57"/>
      <c r="S24" s="56" t="s">
        <v>14</v>
      </c>
      <c r="T24" s="57"/>
      <c r="U24" s="8" t="str">
        <f t="shared" si="18"/>
        <v>Order</v>
      </c>
      <c r="V24" s="56"/>
      <c r="W24" s="57"/>
      <c r="X24" s="56" t="s">
        <v>14</v>
      </c>
      <c r="Y24" s="57"/>
      <c r="Z24" s="8" t="str">
        <f t="shared" si="19"/>
        <v>Order</v>
      </c>
      <c r="AA24" s="12">
        <v>10</v>
      </c>
      <c r="AD24" t="str">
        <f t="shared" si="5"/>
        <v>Cheezy Powder</v>
      </c>
      <c r="AE24" t="str">
        <f t="shared" si="6"/>
        <v>Cheezy Powder</v>
      </c>
      <c r="AF24" t="str">
        <f t="shared" si="7"/>
        <v>Cheezy Powder</v>
      </c>
      <c r="AG24" t="str">
        <f t="shared" si="8"/>
        <v>Cheezy Powder</v>
      </c>
      <c r="AH24" t="str">
        <f t="shared" si="9"/>
        <v>Cheezy Powder</v>
      </c>
    </row>
    <row r="25" spans="1:34" ht="15.75" customHeight="1">
      <c r="A25" s="10" t="s">
        <v>40</v>
      </c>
      <c r="B25" s="11">
        <v>2</v>
      </c>
      <c r="C25" s="11" t="s">
        <v>16</v>
      </c>
      <c r="D25" s="11">
        <v>0</v>
      </c>
      <c r="E25" s="11" t="s">
        <v>41</v>
      </c>
      <c r="F25" s="11" t="str">
        <f>IF(((B25*48)+D25)&lt;=$AA25,"Order","")</f>
        <v/>
      </c>
      <c r="G25" s="11"/>
      <c r="H25" s="11" t="s">
        <v>16</v>
      </c>
      <c r="I25" s="11"/>
      <c r="J25" s="11" t="s">
        <v>41</v>
      </c>
      <c r="K25" s="11" t="str">
        <f>IF(((G25*48)+I25)&lt;=$AA25,"Order","")</f>
        <v>Order</v>
      </c>
      <c r="L25" s="11"/>
      <c r="M25" s="11" t="s">
        <v>16</v>
      </c>
      <c r="N25" s="11"/>
      <c r="O25" s="11" t="s">
        <v>41</v>
      </c>
      <c r="P25" s="11" t="str">
        <f>IF(((L25*48)+N25)&lt;=$AA25,"Order","")</f>
        <v>Order</v>
      </c>
      <c r="Q25" s="11"/>
      <c r="R25" s="11" t="s">
        <v>16</v>
      </c>
      <c r="S25" s="11"/>
      <c r="T25" s="11" t="s">
        <v>41</v>
      </c>
      <c r="U25" s="11" t="str">
        <f>IF(((Q25*48)+S25)&lt;=$AA25,"Order","")</f>
        <v>Order</v>
      </c>
      <c r="V25" s="11"/>
      <c r="W25" s="11" t="s">
        <v>16</v>
      </c>
      <c r="X25" s="11"/>
      <c r="Y25" s="11" t="s">
        <v>41</v>
      </c>
      <c r="Z25" s="11" t="str">
        <f>IF(((V25*48)+X25)&lt;=$AA25,"Order","")</f>
        <v>Order</v>
      </c>
      <c r="AA25" s="9">
        <v>84</v>
      </c>
      <c r="AD25" t="str">
        <f t="shared" si="5"/>
        <v/>
      </c>
      <c r="AE25" t="str">
        <f t="shared" si="6"/>
        <v>Evaporated Milk (CARNATION) [48/CTN]</v>
      </c>
      <c r="AF25" t="str">
        <f t="shared" si="7"/>
        <v>Evaporated Milk (CARNATION) [48/CTN]</v>
      </c>
      <c r="AG25" t="str">
        <f t="shared" si="8"/>
        <v>Evaporated Milk (CARNATION) [48/CTN]</v>
      </c>
      <c r="AH25" t="str">
        <f t="shared" si="9"/>
        <v>Evaporated Milk (CARNATION) [48/CTN]</v>
      </c>
    </row>
    <row r="26" spans="1:34" ht="15.75" customHeight="1">
      <c r="A26" s="7" t="s">
        <v>42</v>
      </c>
      <c r="B26" s="8">
        <v>1</v>
      </c>
      <c r="C26" s="8" t="s">
        <v>16</v>
      </c>
      <c r="D26" s="8">
        <v>3</v>
      </c>
      <c r="E26" s="8" t="s">
        <v>14</v>
      </c>
      <c r="F26" s="8" t="str">
        <f>IF(((B26*4)+D26)&lt;=$AA26,"Order","")</f>
        <v>Order</v>
      </c>
      <c r="G26" s="8"/>
      <c r="H26" s="8" t="s">
        <v>16</v>
      </c>
      <c r="I26" s="8"/>
      <c r="J26" s="8" t="s">
        <v>14</v>
      </c>
      <c r="K26" s="8" t="str">
        <f>IF(((G26*4)+I26)&lt;=$AA26,"Order","")</f>
        <v>Order</v>
      </c>
      <c r="L26" s="8"/>
      <c r="M26" s="8" t="s">
        <v>16</v>
      </c>
      <c r="N26" s="8"/>
      <c r="O26" s="8" t="s">
        <v>14</v>
      </c>
      <c r="P26" s="8" t="str">
        <f>IF(((L26*4)+N26)&lt;=$AA26,"Order","")</f>
        <v>Order</v>
      </c>
      <c r="Q26" s="8"/>
      <c r="R26" s="8" t="s">
        <v>16</v>
      </c>
      <c r="S26" s="8"/>
      <c r="T26" s="8" t="s">
        <v>14</v>
      </c>
      <c r="U26" s="8" t="str">
        <f>IF(((Q26*4)+S26)&lt;=$AA26,"Order","")</f>
        <v>Order</v>
      </c>
      <c r="V26" s="8"/>
      <c r="W26" s="8" t="s">
        <v>16</v>
      </c>
      <c r="X26" s="8"/>
      <c r="Y26" s="8" t="s">
        <v>14</v>
      </c>
      <c r="Z26" s="8" t="str">
        <f>IF(((V26*4)+X26)&lt;=$AA26,"Order","")</f>
        <v>Order</v>
      </c>
      <c r="AA26" s="12">
        <v>8</v>
      </c>
      <c r="AD26" t="str">
        <f t="shared" si="5"/>
        <v>Sweetened Milk (TEAPOT)</v>
      </c>
      <c r="AE26" t="str">
        <f t="shared" si="6"/>
        <v>Sweetened Milk (TEAPOT)</v>
      </c>
      <c r="AF26" t="str">
        <f t="shared" si="7"/>
        <v>Sweetened Milk (TEAPOT)</v>
      </c>
      <c r="AG26" t="str">
        <f t="shared" si="8"/>
        <v>Sweetened Milk (TEAPOT)</v>
      </c>
      <c r="AH26" t="str">
        <f t="shared" si="9"/>
        <v>Sweetened Milk (TEAPOT)</v>
      </c>
    </row>
    <row r="27" spans="1:34" ht="15.75" customHeight="1">
      <c r="A27" s="10" t="s">
        <v>43</v>
      </c>
      <c r="B27" s="58">
        <v>3</v>
      </c>
      <c r="C27" s="57"/>
      <c r="D27" s="58" t="s">
        <v>14</v>
      </c>
      <c r="E27" s="57"/>
      <c r="F27" s="11" t="str">
        <f t="shared" ref="F27:F43" si="20">IF(B27&lt;=$AA27,"Order","")</f>
        <v>Order</v>
      </c>
      <c r="G27" s="58"/>
      <c r="H27" s="57"/>
      <c r="I27" s="58" t="s">
        <v>14</v>
      </c>
      <c r="J27" s="57"/>
      <c r="K27" s="11" t="str">
        <f t="shared" ref="K27:K43" si="21">IF(G27&lt;=$AA27,"Order","")</f>
        <v>Order</v>
      </c>
      <c r="L27" s="58"/>
      <c r="M27" s="57"/>
      <c r="N27" s="58" t="s">
        <v>14</v>
      </c>
      <c r="O27" s="57"/>
      <c r="P27" s="11" t="str">
        <f t="shared" ref="P27:P43" si="22">IF(L27&lt;=$AA27,"Order","")</f>
        <v>Order</v>
      </c>
      <c r="Q27" s="58"/>
      <c r="R27" s="57"/>
      <c r="S27" s="58" t="s">
        <v>14</v>
      </c>
      <c r="T27" s="57"/>
      <c r="U27" s="11" t="str">
        <f t="shared" ref="U27:U43" si="23">IF(Q27&lt;=$AA27,"Order","")</f>
        <v>Order</v>
      </c>
      <c r="V27" s="58"/>
      <c r="W27" s="57"/>
      <c r="X27" s="58" t="s">
        <v>14</v>
      </c>
      <c r="Y27" s="57"/>
      <c r="Z27" s="11" t="str">
        <f t="shared" ref="Z27:Z43" si="24">IF(V27&lt;=$AA27,"Order","")</f>
        <v>Order</v>
      </c>
      <c r="AA27" s="9">
        <v>25</v>
      </c>
      <c r="AD27" t="str">
        <f t="shared" si="5"/>
        <v>Coffee Mate (NESTLE) - 1KG</v>
      </c>
      <c r="AE27" t="str">
        <f t="shared" si="6"/>
        <v>Coffee Mate (NESTLE) - 1KG</v>
      </c>
      <c r="AF27" t="str">
        <f t="shared" si="7"/>
        <v>Coffee Mate (NESTLE) - 1KG</v>
      </c>
      <c r="AG27" t="str">
        <f t="shared" si="8"/>
        <v>Coffee Mate (NESTLE) - 1KG</v>
      </c>
      <c r="AH27" t="str">
        <f t="shared" si="9"/>
        <v>Coffee Mate (NESTLE) - 1KG</v>
      </c>
    </row>
    <row r="28" spans="1:34" ht="15.75" customHeight="1">
      <c r="A28" s="7" t="s">
        <v>44</v>
      </c>
      <c r="B28" s="56">
        <v>1</v>
      </c>
      <c r="C28" s="57"/>
      <c r="D28" s="56" t="s">
        <v>14</v>
      </c>
      <c r="E28" s="57"/>
      <c r="F28" s="8" t="str">
        <f t="shared" si="20"/>
        <v>Order</v>
      </c>
      <c r="G28" s="56"/>
      <c r="H28" s="57"/>
      <c r="I28" s="56" t="s">
        <v>14</v>
      </c>
      <c r="J28" s="57"/>
      <c r="K28" s="8" t="str">
        <f t="shared" si="21"/>
        <v>Order</v>
      </c>
      <c r="L28" s="56"/>
      <c r="M28" s="57"/>
      <c r="N28" s="56" t="s">
        <v>14</v>
      </c>
      <c r="O28" s="57"/>
      <c r="P28" s="8" t="str">
        <f t="shared" si="22"/>
        <v>Order</v>
      </c>
      <c r="Q28" s="56"/>
      <c r="R28" s="57"/>
      <c r="S28" s="56" t="s">
        <v>14</v>
      </c>
      <c r="T28" s="57"/>
      <c r="U28" s="8" t="str">
        <f t="shared" si="23"/>
        <v>Order</v>
      </c>
      <c r="V28" s="56"/>
      <c r="W28" s="57"/>
      <c r="X28" s="56" t="s">
        <v>14</v>
      </c>
      <c r="Y28" s="57"/>
      <c r="Z28" s="8" t="str">
        <f t="shared" si="24"/>
        <v>Order</v>
      </c>
      <c r="AA28" s="12">
        <v>3</v>
      </c>
      <c r="AD28" t="str">
        <f t="shared" si="5"/>
        <v>Pork/ Chicken Powder (3KG MIX)</v>
      </c>
      <c r="AE28" t="str">
        <f t="shared" si="6"/>
        <v>Pork/ Chicken Powder (3KG MIX)</v>
      </c>
      <c r="AF28" t="str">
        <f t="shared" si="7"/>
        <v>Pork/ Chicken Powder (3KG MIX)</v>
      </c>
      <c r="AG28" t="str">
        <f t="shared" si="8"/>
        <v>Pork/ Chicken Powder (3KG MIX)</v>
      </c>
      <c r="AH28" t="str">
        <f t="shared" si="9"/>
        <v>Pork/ Chicken Powder (3KG MIX)</v>
      </c>
    </row>
    <row r="29" spans="1:34" ht="15.75" customHeight="1">
      <c r="A29" s="10" t="s">
        <v>45</v>
      </c>
      <c r="B29" s="58">
        <v>1</v>
      </c>
      <c r="C29" s="57"/>
      <c r="D29" s="58" t="s">
        <v>14</v>
      </c>
      <c r="E29" s="57"/>
      <c r="F29" s="11" t="str">
        <f t="shared" si="20"/>
        <v>Order</v>
      </c>
      <c r="G29" s="58"/>
      <c r="H29" s="57"/>
      <c r="I29" s="58" t="s">
        <v>14</v>
      </c>
      <c r="J29" s="57"/>
      <c r="K29" s="11" t="str">
        <f t="shared" si="21"/>
        <v>Order</v>
      </c>
      <c r="L29" s="58"/>
      <c r="M29" s="57"/>
      <c r="N29" s="58" t="s">
        <v>14</v>
      </c>
      <c r="O29" s="57"/>
      <c r="P29" s="11" t="str">
        <f t="shared" si="22"/>
        <v>Order</v>
      </c>
      <c r="Q29" s="58"/>
      <c r="R29" s="57"/>
      <c r="S29" s="58" t="s">
        <v>14</v>
      </c>
      <c r="T29" s="57"/>
      <c r="U29" s="11" t="str">
        <f t="shared" si="23"/>
        <v>Order</v>
      </c>
      <c r="V29" s="58"/>
      <c r="W29" s="57"/>
      <c r="X29" s="58" t="s">
        <v>14</v>
      </c>
      <c r="Y29" s="57"/>
      <c r="Z29" s="11" t="str">
        <f t="shared" si="24"/>
        <v>Order</v>
      </c>
      <c r="AA29" s="9">
        <v>3</v>
      </c>
      <c r="AD29" t="str">
        <f t="shared" si="5"/>
        <v>Pork/ Chicken Powder (6KG MIX)</v>
      </c>
      <c r="AE29" t="str">
        <f t="shared" si="6"/>
        <v>Pork/ Chicken Powder (6KG MIX)</v>
      </c>
      <c r="AF29" t="str">
        <f t="shared" si="7"/>
        <v>Pork/ Chicken Powder (6KG MIX)</v>
      </c>
      <c r="AG29" t="str">
        <f t="shared" si="8"/>
        <v>Pork/ Chicken Powder (6KG MIX)</v>
      </c>
      <c r="AH29" t="str">
        <f t="shared" si="9"/>
        <v>Pork/ Chicken Powder (6KG MIX)</v>
      </c>
    </row>
    <row r="30" spans="1:34" ht="15.75" customHeight="1">
      <c r="A30" s="7" t="s">
        <v>46</v>
      </c>
      <c r="B30" s="56">
        <v>0</v>
      </c>
      <c r="C30" s="57"/>
      <c r="D30" s="56" t="s">
        <v>14</v>
      </c>
      <c r="E30" s="57"/>
      <c r="F30" s="8" t="str">
        <f t="shared" si="20"/>
        <v>Order</v>
      </c>
      <c r="G30" s="56"/>
      <c r="H30" s="57"/>
      <c r="I30" s="56" t="s">
        <v>14</v>
      </c>
      <c r="J30" s="57"/>
      <c r="K30" s="8" t="str">
        <f t="shared" si="21"/>
        <v>Order</v>
      </c>
      <c r="L30" s="56"/>
      <c r="M30" s="57"/>
      <c r="N30" s="56" t="s">
        <v>14</v>
      </c>
      <c r="O30" s="57"/>
      <c r="P30" s="8" t="str">
        <f t="shared" si="22"/>
        <v>Order</v>
      </c>
      <c r="Q30" s="56"/>
      <c r="R30" s="57"/>
      <c r="S30" s="56" t="s">
        <v>14</v>
      </c>
      <c r="T30" s="57"/>
      <c r="U30" s="8" t="str">
        <f t="shared" si="23"/>
        <v>Order</v>
      </c>
      <c r="V30" s="56"/>
      <c r="W30" s="57"/>
      <c r="X30" s="56" t="s">
        <v>14</v>
      </c>
      <c r="Y30" s="57"/>
      <c r="Z30" s="8" t="str">
        <f t="shared" si="24"/>
        <v>Order</v>
      </c>
      <c r="AA30" s="9">
        <v>5</v>
      </c>
      <c r="AD30" t="str">
        <f t="shared" si="5"/>
        <v>Pork/ Chicken Powder (12KG MIX)</v>
      </c>
      <c r="AE30" t="str">
        <f t="shared" si="6"/>
        <v>Pork/ Chicken Powder (12KG MIX)</v>
      </c>
      <c r="AF30" t="str">
        <f t="shared" si="7"/>
        <v>Pork/ Chicken Powder (12KG MIX)</v>
      </c>
      <c r="AG30" t="str">
        <f t="shared" si="8"/>
        <v>Pork/ Chicken Powder (12KG MIX)</v>
      </c>
      <c r="AH30" t="str">
        <f t="shared" si="9"/>
        <v>Pork/ Chicken Powder (12KG MIX)</v>
      </c>
    </row>
    <row r="31" spans="1:34" ht="15.75" customHeight="1">
      <c r="A31" s="10" t="s">
        <v>47</v>
      </c>
      <c r="B31" s="58">
        <v>0</v>
      </c>
      <c r="C31" s="57"/>
      <c r="D31" s="58" t="s">
        <v>14</v>
      </c>
      <c r="E31" s="57"/>
      <c r="F31" s="11" t="str">
        <f t="shared" si="20"/>
        <v>Order</v>
      </c>
      <c r="G31" s="58"/>
      <c r="H31" s="57"/>
      <c r="I31" s="58" t="s">
        <v>14</v>
      </c>
      <c r="J31" s="57"/>
      <c r="K31" s="11" t="str">
        <f t="shared" si="21"/>
        <v>Order</v>
      </c>
      <c r="L31" s="58"/>
      <c r="M31" s="57"/>
      <c r="N31" s="58" t="s">
        <v>14</v>
      </c>
      <c r="O31" s="57"/>
      <c r="P31" s="11" t="str">
        <f t="shared" si="22"/>
        <v>Order</v>
      </c>
      <c r="Q31" s="58"/>
      <c r="R31" s="57"/>
      <c r="S31" s="58" t="s">
        <v>14</v>
      </c>
      <c r="T31" s="57"/>
      <c r="U31" s="11" t="str">
        <f t="shared" si="23"/>
        <v>Order</v>
      </c>
      <c r="V31" s="58"/>
      <c r="W31" s="57"/>
      <c r="X31" s="58" t="s">
        <v>14</v>
      </c>
      <c r="Y31" s="57"/>
      <c r="Z31" s="11" t="str">
        <f t="shared" si="24"/>
        <v>Order</v>
      </c>
      <c r="AA31" s="12">
        <v>5</v>
      </c>
      <c r="AD31" t="str">
        <f t="shared" si="5"/>
        <v>Beef Powder (6KG MIX)</v>
      </c>
      <c r="AE31" t="str">
        <f t="shared" si="6"/>
        <v>Beef Powder (6KG MIX)</v>
      </c>
      <c r="AF31" t="str">
        <f t="shared" si="7"/>
        <v>Beef Powder (6KG MIX)</v>
      </c>
      <c r="AG31" t="str">
        <f t="shared" si="8"/>
        <v>Beef Powder (6KG MIX)</v>
      </c>
      <c r="AH31" t="str">
        <f t="shared" si="9"/>
        <v>Beef Powder (6KG MIX)</v>
      </c>
    </row>
    <row r="32" spans="1:34" ht="15.75" customHeight="1">
      <c r="A32" s="7" t="s">
        <v>48</v>
      </c>
      <c r="B32" s="56">
        <v>0</v>
      </c>
      <c r="C32" s="57"/>
      <c r="D32" s="56" t="s">
        <v>14</v>
      </c>
      <c r="E32" s="57"/>
      <c r="F32" s="8" t="str">
        <f t="shared" si="20"/>
        <v>Order</v>
      </c>
      <c r="G32" s="56"/>
      <c r="H32" s="57"/>
      <c r="I32" s="56" t="s">
        <v>14</v>
      </c>
      <c r="J32" s="57"/>
      <c r="K32" s="8" t="str">
        <f t="shared" si="21"/>
        <v>Order</v>
      </c>
      <c r="L32" s="56"/>
      <c r="M32" s="57"/>
      <c r="N32" s="56" t="s">
        <v>14</v>
      </c>
      <c r="O32" s="57"/>
      <c r="P32" s="8" t="str">
        <f t="shared" si="22"/>
        <v>Order</v>
      </c>
      <c r="Q32" s="56"/>
      <c r="R32" s="57"/>
      <c r="S32" s="56" t="s">
        <v>14</v>
      </c>
      <c r="T32" s="57"/>
      <c r="U32" s="8" t="str">
        <f t="shared" si="23"/>
        <v>Order</v>
      </c>
      <c r="V32" s="56"/>
      <c r="W32" s="57"/>
      <c r="X32" s="56" t="s">
        <v>14</v>
      </c>
      <c r="Y32" s="57"/>
      <c r="Z32" s="8" t="str">
        <f t="shared" si="24"/>
        <v>Order</v>
      </c>
      <c r="AA32" s="9">
        <v>8</v>
      </c>
      <c r="AD32" t="str">
        <f t="shared" si="5"/>
        <v>Yuzu Premix</v>
      </c>
      <c r="AE32" t="str">
        <f t="shared" si="6"/>
        <v>Yuzu Premix</v>
      </c>
      <c r="AF32" t="str">
        <f t="shared" si="7"/>
        <v>Yuzu Premix</v>
      </c>
      <c r="AG32" t="str">
        <f t="shared" si="8"/>
        <v>Yuzu Premix</v>
      </c>
      <c r="AH32" t="str">
        <f t="shared" si="9"/>
        <v>Yuzu Premix</v>
      </c>
    </row>
    <row r="33" spans="1:34" ht="15.75" customHeight="1">
      <c r="A33" s="10" t="s">
        <v>49</v>
      </c>
      <c r="B33" s="58">
        <v>4</v>
      </c>
      <c r="C33" s="57"/>
      <c r="D33" s="58" t="s">
        <v>14</v>
      </c>
      <c r="E33" s="57"/>
      <c r="F33" s="11" t="str">
        <f t="shared" si="20"/>
        <v>Order</v>
      </c>
      <c r="G33" s="58"/>
      <c r="H33" s="57"/>
      <c r="I33" s="58" t="s">
        <v>14</v>
      </c>
      <c r="J33" s="57"/>
      <c r="K33" s="11" t="str">
        <f t="shared" si="21"/>
        <v>Order</v>
      </c>
      <c r="L33" s="58"/>
      <c r="M33" s="57"/>
      <c r="N33" s="58" t="s">
        <v>14</v>
      </c>
      <c r="O33" s="57"/>
      <c r="P33" s="11" t="str">
        <f t="shared" si="22"/>
        <v>Order</v>
      </c>
      <c r="Q33" s="58"/>
      <c r="R33" s="57"/>
      <c r="S33" s="58" t="s">
        <v>14</v>
      </c>
      <c r="T33" s="57"/>
      <c r="U33" s="11" t="str">
        <f t="shared" si="23"/>
        <v>Order</v>
      </c>
      <c r="V33" s="58"/>
      <c r="W33" s="57"/>
      <c r="X33" s="58" t="s">
        <v>14</v>
      </c>
      <c r="Y33" s="57"/>
      <c r="Z33" s="11" t="str">
        <f t="shared" si="24"/>
        <v>Order</v>
      </c>
      <c r="AA33" s="12">
        <v>8</v>
      </c>
      <c r="AD33" t="str">
        <f t="shared" si="5"/>
        <v>S. Yuzu Premix</v>
      </c>
      <c r="AE33" t="str">
        <f t="shared" si="6"/>
        <v>S. Yuzu Premix</v>
      </c>
      <c r="AF33" t="str">
        <f t="shared" si="7"/>
        <v>S. Yuzu Premix</v>
      </c>
      <c r="AG33" t="str">
        <f t="shared" si="8"/>
        <v>S. Yuzu Premix</v>
      </c>
      <c r="AH33" t="str">
        <f t="shared" si="9"/>
        <v>S. Yuzu Premix</v>
      </c>
    </row>
    <row r="34" spans="1:34" ht="15.75" customHeight="1">
      <c r="A34" s="7" t="s">
        <v>50</v>
      </c>
      <c r="B34" s="56">
        <v>1</v>
      </c>
      <c r="C34" s="57"/>
      <c r="D34" s="56" t="s">
        <v>14</v>
      </c>
      <c r="E34" s="57"/>
      <c r="F34" s="8" t="str">
        <f t="shared" si="20"/>
        <v>Order</v>
      </c>
      <c r="G34" s="56"/>
      <c r="H34" s="57"/>
      <c r="I34" s="56" t="s">
        <v>14</v>
      </c>
      <c r="J34" s="57"/>
      <c r="K34" s="8" t="str">
        <f t="shared" si="21"/>
        <v>Order</v>
      </c>
      <c r="L34" s="56"/>
      <c r="M34" s="57"/>
      <c r="N34" s="56" t="s">
        <v>14</v>
      </c>
      <c r="O34" s="57"/>
      <c r="P34" s="8" t="str">
        <f t="shared" si="22"/>
        <v>Order</v>
      </c>
      <c r="Q34" s="56"/>
      <c r="R34" s="57"/>
      <c r="S34" s="56" t="s">
        <v>14</v>
      </c>
      <c r="T34" s="57"/>
      <c r="U34" s="8" t="str">
        <f t="shared" si="23"/>
        <v>Order</v>
      </c>
      <c r="V34" s="56"/>
      <c r="W34" s="57"/>
      <c r="X34" s="56" t="s">
        <v>14</v>
      </c>
      <c r="Y34" s="57"/>
      <c r="Z34" s="8" t="str">
        <f t="shared" si="24"/>
        <v>Order</v>
      </c>
      <c r="AA34" s="9">
        <v>2</v>
      </c>
      <c r="AD34" t="str">
        <f t="shared" si="5"/>
        <v>Yuzu Coating Powder</v>
      </c>
      <c r="AE34" t="str">
        <f t="shared" si="6"/>
        <v>Yuzu Coating Powder</v>
      </c>
      <c r="AF34" t="str">
        <f t="shared" si="7"/>
        <v>Yuzu Coating Powder</v>
      </c>
      <c r="AG34" t="str">
        <f t="shared" si="8"/>
        <v>Yuzu Coating Powder</v>
      </c>
      <c r="AH34" t="str">
        <f t="shared" si="9"/>
        <v>Yuzu Coating Powder</v>
      </c>
    </row>
    <row r="35" spans="1:34" ht="15.75" customHeight="1">
      <c r="A35" s="10" t="s">
        <v>51</v>
      </c>
      <c r="B35" s="58">
        <v>1</v>
      </c>
      <c r="C35" s="57"/>
      <c r="D35" s="58" t="s">
        <v>14</v>
      </c>
      <c r="E35" s="57"/>
      <c r="F35" s="11" t="str">
        <f t="shared" si="20"/>
        <v>Order</v>
      </c>
      <c r="G35" s="58"/>
      <c r="H35" s="57"/>
      <c r="I35" s="58" t="s">
        <v>14</v>
      </c>
      <c r="J35" s="57"/>
      <c r="K35" s="11" t="str">
        <f t="shared" si="21"/>
        <v>Order</v>
      </c>
      <c r="L35" s="58"/>
      <c r="M35" s="57"/>
      <c r="N35" s="58" t="s">
        <v>14</v>
      </c>
      <c r="O35" s="57"/>
      <c r="P35" s="11" t="str">
        <f t="shared" si="22"/>
        <v>Order</v>
      </c>
      <c r="Q35" s="58"/>
      <c r="R35" s="57"/>
      <c r="S35" s="58" t="s">
        <v>14</v>
      </c>
      <c r="T35" s="57"/>
      <c r="U35" s="11" t="str">
        <f t="shared" si="23"/>
        <v>Order</v>
      </c>
      <c r="V35" s="58"/>
      <c r="W35" s="57"/>
      <c r="X35" s="58" t="s">
        <v>14</v>
      </c>
      <c r="Y35" s="57"/>
      <c r="Z35" s="11" t="str">
        <f t="shared" si="24"/>
        <v>Order</v>
      </c>
      <c r="AA35" s="12">
        <v>2</v>
      </c>
      <c r="AD35" t="str">
        <f t="shared" si="5"/>
        <v>S.Yuzu Coating Powder</v>
      </c>
      <c r="AE35" t="str">
        <f t="shared" si="6"/>
        <v>S.Yuzu Coating Powder</v>
      </c>
      <c r="AF35" t="str">
        <f t="shared" si="7"/>
        <v>S.Yuzu Coating Powder</v>
      </c>
      <c r="AG35" t="str">
        <f t="shared" si="8"/>
        <v>S.Yuzu Coating Powder</v>
      </c>
      <c r="AH35" t="str">
        <f t="shared" si="9"/>
        <v>S.Yuzu Coating Powder</v>
      </c>
    </row>
    <row r="36" spans="1:34" ht="15.75" customHeight="1">
      <c r="A36" s="7" t="s">
        <v>52</v>
      </c>
      <c r="B36" s="56">
        <v>1</v>
      </c>
      <c r="C36" s="57"/>
      <c r="D36" s="56" t="s">
        <v>14</v>
      </c>
      <c r="E36" s="57"/>
      <c r="F36" s="8" t="str">
        <f t="shared" si="20"/>
        <v/>
      </c>
      <c r="G36" s="56"/>
      <c r="H36" s="57"/>
      <c r="I36" s="56" t="s">
        <v>14</v>
      </c>
      <c r="J36" s="57"/>
      <c r="K36" s="8" t="str">
        <f t="shared" si="21"/>
        <v>Order</v>
      </c>
      <c r="L36" s="56"/>
      <c r="M36" s="57"/>
      <c r="N36" s="56" t="s">
        <v>14</v>
      </c>
      <c r="O36" s="57"/>
      <c r="P36" s="8" t="str">
        <f t="shared" si="22"/>
        <v>Order</v>
      </c>
      <c r="Q36" s="56"/>
      <c r="R36" s="57"/>
      <c r="S36" s="56" t="s">
        <v>14</v>
      </c>
      <c r="T36" s="57"/>
      <c r="U36" s="8" t="str">
        <f t="shared" si="23"/>
        <v>Order</v>
      </c>
      <c r="V36" s="56"/>
      <c r="W36" s="57"/>
      <c r="X36" s="56" t="s">
        <v>14</v>
      </c>
      <c r="Y36" s="57"/>
      <c r="Z36" s="8" t="str">
        <f t="shared" si="24"/>
        <v>Order</v>
      </c>
      <c r="AA36" s="9">
        <v>0.5</v>
      </c>
      <c r="AD36" t="str">
        <f t="shared" si="5"/>
        <v/>
      </c>
      <c r="AE36" t="str">
        <f t="shared" si="6"/>
        <v>Ogoma Sauce</v>
      </c>
      <c r="AF36" t="str">
        <f t="shared" si="7"/>
        <v>Ogoma Sauce</v>
      </c>
      <c r="AG36" t="str">
        <f t="shared" si="8"/>
        <v>Ogoma Sauce</v>
      </c>
      <c r="AH36" t="str">
        <f t="shared" si="9"/>
        <v>Ogoma Sauce</v>
      </c>
    </row>
    <row r="37" spans="1:34" ht="15.75" customHeight="1">
      <c r="A37" s="10" t="s">
        <v>53</v>
      </c>
      <c r="B37" s="58">
        <v>1.1000000000000001</v>
      </c>
      <c r="C37" s="57"/>
      <c r="D37" s="58" t="s">
        <v>14</v>
      </c>
      <c r="E37" s="57"/>
      <c r="F37" s="11" t="str">
        <f t="shared" si="20"/>
        <v/>
      </c>
      <c r="G37" s="58"/>
      <c r="H37" s="57"/>
      <c r="I37" s="58" t="s">
        <v>14</v>
      </c>
      <c r="J37" s="57"/>
      <c r="K37" s="11" t="str">
        <f t="shared" si="21"/>
        <v>Order</v>
      </c>
      <c r="L37" s="58"/>
      <c r="M37" s="57"/>
      <c r="N37" s="58" t="s">
        <v>14</v>
      </c>
      <c r="O37" s="57"/>
      <c r="P37" s="11" t="str">
        <f t="shared" si="22"/>
        <v>Order</v>
      </c>
      <c r="Q37" s="58"/>
      <c r="R37" s="57"/>
      <c r="S37" s="58" t="s">
        <v>14</v>
      </c>
      <c r="T37" s="57"/>
      <c r="U37" s="11" t="str">
        <f t="shared" si="23"/>
        <v>Order</v>
      </c>
      <c r="V37" s="58"/>
      <c r="W37" s="57"/>
      <c r="X37" s="58" t="s">
        <v>14</v>
      </c>
      <c r="Y37" s="57"/>
      <c r="Z37" s="11" t="str">
        <f t="shared" si="24"/>
        <v>Order</v>
      </c>
      <c r="AA37" s="12">
        <v>0.5</v>
      </c>
      <c r="AD37" t="str">
        <f t="shared" si="5"/>
        <v/>
      </c>
      <c r="AE37" t="str">
        <f t="shared" si="6"/>
        <v>SSS Sauce</v>
      </c>
      <c r="AF37" t="str">
        <f t="shared" si="7"/>
        <v>SSS Sauce</v>
      </c>
      <c r="AG37" t="str">
        <f t="shared" si="8"/>
        <v>SSS Sauce</v>
      </c>
      <c r="AH37" t="str">
        <f t="shared" si="9"/>
        <v>SSS Sauce</v>
      </c>
    </row>
    <row r="38" spans="1:34" ht="15.75" customHeight="1">
      <c r="A38" s="7" t="s">
        <v>54</v>
      </c>
      <c r="B38" s="56">
        <v>1</v>
      </c>
      <c r="C38" s="57"/>
      <c r="D38" s="56" t="s">
        <v>14</v>
      </c>
      <c r="E38" s="57"/>
      <c r="F38" s="8" t="str">
        <f t="shared" si="20"/>
        <v/>
      </c>
      <c r="G38" s="56"/>
      <c r="H38" s="57"/>
      <c r="I38" s="56" t="s">
        <v>14</v>
      </c>
      <c r="J38" s="57"/>
      <c r="K38" s="8" t="str">
        <f t="shared" si="21"/>
        <v>Order</v>
      </c>
      <c r="L38" s="56"/>
      <c r="M38" s="57"/>
      <c r="N38" s="56" t="s">
        <v>14</v>
      </c>
      <c r="O38" s="57"/>
      <c r="P38" s="8" t="str">
        <f t="shared" si="22"/>
        <v>Order</v>
      </c>
      <c r="Q38" s="56"/>
      <c r="R38" s="57"/>
      <c r="S38" s="56" t="s">
        <v>14</v>
      </c>
      <c r="T38" s="57"/>
      <c r="U38" s="8" t="str">
        <f t="shared" si="23"/>
        <v>Order</v>
      </c>
      <c r="V38" s="56"/>
      <c r="W38" s="57"/>
      <c r="X38" s="56" t="s">
        <v>14</v>
      </c>
      <c r="Y38" s="57"/>
      <c r="Z38" s="8" t="str">
        <f t="shared" si="24"/>
        <v>Order</v>
      </c>
      <c r="AA38" s="9">
        <v>0.5</v>
      </c>
      <c r="AD38" t="str">
        <f t="shared" si="5"/>
        <v/>
      </c>
      <c r="AE38" t="str">
        <f t="shared" si="6"/>
        <v>Yuzu Sauce</v>
      </c>
      <c r="AF38" t="str">
        <f t="shared" si="7"/>
        <v>Yuzu Sauce</v>
      </c>
      <c r="AG38" t="str">
        <f t="shared" si="8"/>
        <v>Yuzu Sauce</v>
      </c>
      <c r="AH38" t="str">
        <f t="shared" si="9"/>
        <v>Yuzu Sauce</v>
      </c>
    </row>
    <row r="39" spans="1:34" ht="15.75" customHeight="1">
      <c r="A39" s="10" t="s">
        <v>55</v>
      </c>
      <c r="B39" s="58">
        <v>0</v>
      </c>
      <c r="C39" s="57"/>
      <c r="D39" s="58" t="s">
        <v>14</v>
      </c>
      <c r="E39" s="57"/>
      <c r="F39" s="11" t="str">
        <f t="shared" si="20"/>
        <v>Order</v>
      </c>
      <c r="G39" s="58"/>
      <c r="H39" s="57"/>
      <c r="I39" s="58" t="s">
        <v>14</v>
      </c>
      <c r="J39" s="57"/>
      <c r="K39" s="11" t="str">
        <f t="shared" si="21"/>
        <v>Order</v>
      </c>
      <c r="L39" s="58"/>
      <c r="M39" s="57"/>
      <c r="N39" s="58" t="s">
        <v>14</v>
      </c>
      <c r="O39" s="57"/>
      <c r="P39" s="11" t="str">
        <f t="shared" si="22"/>
        <v>Order</v>
      </c>
      <c r="Q39" s="58"/>
      <c r="R39" s="57"/>
      <c r="S39" s="58" t="s">
        <v>14</v>
      </c>
      <c r="T39" s="57"/>
      <c r="U39" s="11" t="str">
        <f t="shared" si="23"/>
        <v>Order</v>
      </c>
      <c r="V39" s="58"/>
      <c r="W39" s="57"/>
      <c r="X39" s="58" t="s">
        <v>14</v>
      </c>
      <c r="Y39" s="57"/>
      <c r="Z39" s="11" t="str">
        <f t="shared" si="24"/>
        <v>Order</v>
      </c>
      <c r="AA39" s="12">
        <v>0.3</v>
      </c>
      <c r="AD39" t="str">
        <f t="shared" si="5"/>
        <v>Curry Sauce</v>
      </c>
      <c r="AE39" t="str">
        <f t="shared" si="6"/>
        <v>Curry Sauce</v>
      </c>
      <c r="AF39" t="str">
        <f t="shared" si="7"/>
        <v>Curry Sauce</v>
      </c>
      <c r="AG39" t="str">
        <f t="shared" si="8"/>
        <v>Curry Sauce</v>
      </c>
      <c r="AH39" t="str">
        <f t="shared" si="9"/>
        <v>Curry Sauce</v>
      </c>
    </row>
    <row r="40" spans="1:34" ht="15.75" customHeight="1">
      <c r="A40" s="7" t="s">
        <v>56</v>
      </c>
      <c r="B40" s="56">
        <v>1</v>
      </c>
      <c r="C40" s="57"/>
      <c r="D40" s="56" t="s">
        <v>14</v>
      </c>
      <c r="E40" s="57"/>
      <c r="F40" s="8" t="str">
        <f t="shared" si="20"/>
        <v/>
      </c>
      <c r="G40" s="56"/>
      <c r="H40" s="57"/>
      <c r="I40" s="56" t="s">
        <v>14</v>
      </c>
      <c r="J40" s="57"/>
      <c r="K40" s="8" t="str">
        <f t="shared" si="21"/>
        <v>Order</v>
      </c>
      <c r="L40" s="56"/>
      <c r="M40" s="57"/>
      <c r="N40" s="56" t="s">
        <v>14</v>
      </c>
      <c r="O40" s="57"/>
      <c r="P40" s="8" t="str">
        <f t="shared" si="22"/>
        <v>Order</v>
      </c>
      <c r="Q40" s="56"/>
      <c r="R40" s="57"/>
      <c r="S40" s="56" t="s">
        <v>14</v>
      </c>
      <c r="T40" s="57"/>
      <c r="U40" s="8" t="str">
        <f t="shared" si="23"/>
        <v>Order</v>
      </c>
      <c r="V40" s="56"/>
      <c r="W40" s="57"/>
      <c r="X40" s="56" t="s">
        <v>14</v>
      </c>
      <c r="Y40" s="57"/>
      <c r="Z40" s="8" t="str">
        <f t="shared" si="24"/>
        <v>Order</v>
      </c>
      <c r="AA40" s="9">
        <v>0.5</v>
      </c>
      <c r="AD40" t="str">
        <f t="shared" si="5"/>
        <v/>
      </c>
      <c r="AE40" t="str">
        <f t="shared" si="6"/>
        <v>Mustard Sauce</v>
      </c>
      <c r="AF40" t="str">
        <f t="shared" si="7"/>
        <v>Mustard Sauce</v>
      </c>
      <c r="AG40" t="str">
        <f t="shared" si="8"/>
        <v>Mustard Sauce</v>
      </c>
      <c r="AH40" t="str">
        <f t="shared" si="9"/>
        <v>Mustard Sauce</v>
      </c>
    </row>
    <row r="41" spans="1:34" ht="15.75" customHeight="1">
      <c r="A41" s="10" t="s">
        <v>57</v>
      </c>
      <c r="B41" s="58">
        <v>12</v>
      </c>
      <c r="C41" s="57"/>
      <c r="D41" s="58" t="s">
        <v>58</v>
      </c>
      <c r="E41" s="57"/>
      <c r="F41" s="11" t="str">
        <f t="shared" si="20"/>
        <v/>
      </c>
      <c r="G41" s="58"/>
      <c r="H41" s="57"/>
      <c r="I41" s="58" t="s">
        <v>58</v>
      </c>
      <c r="J41" s="57"/>
      <c r="K41" s="11" t="str">
        <f t="shared" si="21"/>
        <v>Order</v>
      </c>
      <c r="L41" s="58"/>
      <c r="M41" s="57"/>
      <c r="N41" s="58" t="s">
        <v>58</v>
      </c>
      <c r="O41" s="57"/>
      <c r="P41" s="11" t="str">
        <f t="shared" si="22"/>
        <v>Order</v>
      </c>
      <c r="Q41" s="58"/>
      <c r="R41" s="57"/>
      <c r="S41" s="58" t="s">
        <v>58</v>
      </c>
      <c r="T41" s="57"/>
      <c r="U41" s="11" t="str">
        <f t="shared" si="23"/>
        <v>Order</v>
      </c>
      <c r="V41" s="58"/>
      <c r="W41" s="57"/>
      <c r="X41" s="58" t="s">
        <v>58</v>
      </c>
      <c r="Y41" s="57"/>
      <c r="Z41" s="11" t="str">
        <f t="shared" si="24"/>
        <v>Order</v>
      </c>
      <c r="AA41" s="12">
        <v>1</v>
      </c>
      <c r="AD41" t="str">
        <f t="shared" si="5"/>
        <v/>
      </c>
      <c r="AE41" t="str">
        <f t="shared" si="6"/>
        <v>Peanut Jam</v>
      </c>
      <c r="AF41" t="str">
        <f t="shared" si="7"/>
        <v>Peanut Jam</v>
      </c>
      <c r="AG41" t="str">
        <f t="shared" si="8"/>
        <v>Peanut Jam</v>
      </c>
      <c r="AH41" t="str">
        <f t="shared" si="9"/>
        <v>Peanut Jam</v>
      </c>
    </row>
    <row r="42" spans="1:34" ht="15.75" customHeight="1">
      <c r="A42" s="7" t="s">
        <v>59</v>
      </c>
      <c r="B42" s="56">
        <v>1</v>
      </c>
      <c r="C42" s="57"/>
      <c r="D42" s="56" t="s">
        <v>14</v>
      </c>
      <c r="E42" s="57"/>
      <c r="F42" s="8" t="str">
        <f t="shared" si="20"/>
        <v/>
      </c>
      <c r="G42" s="56"/>
      <c r="H42" s="57"/>
      <c r="I42" s="56" t="s">
        <v>14</v>
      </c>
      <c r="J42" s="57"/>
      <c r="K42" s="8" t="str">
        <f t="shared" si="21"/>
        <v>Order</v>
      </c>
      <c r="L42" s="56"/>
      <c r="M42" s="57"/>
      <c r="N42" s="56" t="s">
        <v>14</v>
      </c>
      <c r="O42" s="57"/>
      <c r="P42" s="8" t="str">
        <f t="shared" si="22"/>
        <v>Order</v>
      </c>
      <c r="Q42" s="56"/>
      <c r="R42" s="57"/>
      <c r="S42" s="56" t="s">
        <v>14</v>
      </c>
      <c r="T42" s="57"/>
      <c r="U42" s="8" t="str">
        <f t="shared" si="23"/>
        <v>Order</v>
      </c>
      <c r="V42" s="56"/>
      <c r="W42" s="57"/>
      <c r="X42" s="56" t="s">
        <v>14</v>
      </c>
      <c r="Y42" s="57"/>
      <c r="Z42" s="8" t="str">
        <f t="shared" si="24"/>
        <v>Order</v>
      </c>
      <c r="AA42" s="9">
        <v>0.5</v>
      </c>
      <c r="AD42" t="str">
        <f t="shared" si="5"/>
        <v/>
      </c>
      <c r="AE42" t="str">
        <f t="shared" si="6"/>
        <v>Blueberry Jam （1kg）</v>
      </c>
      <c r="AF42" t="str">
        <f t="shared" si="7"/>
        <v>Blueberry Jam （1kg）</v>
      </c>
      <c r="AG42" t="str">
        <f t="shared" si="8"/>
        <v>Blueberry Jam （1kg）</v>
      </c>
      <c r="AH42" t="str">
        <f t="shared" si="9"/>
        <v>Blueberry Jam （1kg）</v>
      </c>
    </row>
    <row r="43" spans="1:34" ht="15.75" customHeight="1">
      <c r="A43" s="10" t="s">
        <v>60</v>
      </c>
      <c r="B43" s="58">
        <v>9</v>
      </c>
      <c r="C43" s="57"/>
      <c r="D43" s="58" t="s">
        <v>14</v>
      </c>
      <c r="E43" s="57"/>
      <c r="F43" s="11" t="str">
        <f t="shared" si="20"/>
        <v/>
      </c>
      <c r="G43" s="58"/>
      <c r="H43" s="57"/>
      <c r="I43" s="58" t="s">
        <v>14</v>
      </c>
      <c r="J43" s="57"/>
      <c r="K43" s="11" t="str">
        <f t="shared" si="21"/>
        <v>Order</v>
      </c>
      <c r="L43" s="58"/>
      <c r="M43" s="57"/>
      <c r="N43" s="58" t="s">
        <v>14</v>
      </c>
      <c r="O43" s="57"/>
      <c r="P43" s="11" t="str">
        <f t="shared" si="22"/>
        <v>Order</v>
      </c>
      <c r="Q43" s="58"/>
      <c r="R43" s="57"/>
      <c r="S43" s="58" t="s">
        <v>14</v>
      </c>
      <c r="T43" s="57"/>
      <c r="U43" s="11" t="str">
        <f t="shared" si="23"/>
        <v>Order</v>
      </c>
      <c r="V43" s="58"/>
      <c r="W43" s="57"/>
      <c r="X43" s="58" t="s">
        <v>14</v>
      </c>
      <c r="Y43" s="57"/>
      <c r="Z43" s="11" t="str">
        <f t="shared" si="24"/>
        <v>Order</v>
      </c>
      <c r="AA43" s="12">
        <v>1</v>
      </c>
      <c r="AD43" t="str">
        <f t="shared" si="5"/>
        <v/>
      </c>
      <c r="AE43" t="str">
        <f t="shared" si="6"/>
        <v>Mentaiko Sauce</v>
      </c>
      <c r="AF43" t="str">
        <f t="shared" si="7"/>
        <v>Mentaiko Sauce</v>
      </c>
      <c r="AG43" t="str">
        <f t="shared" si="8"/>
        <v>Mentaiko Sauce</v>
      </c>
      <c r="AH43" t="str">
        <f t="shared" si="9"/>
        <v>Mentaiko Sauce</v>
      </c>
    </row>
    <row r="44" spans="1:34" ht="15.75" customHeight="1">
      <c r="AA44" s="13"/>
    </row>
    <row r="45" spans="1:34" ht="15.75" customHeight="1">
      <c r="AA45" s="13"/>
    </row>
    <row r="46" spans="1:34" ht="15.75" customHeight="1">
      <c r="AA46" s="13"/>
    </row>
    <row r="47" spans="1:34" ht="15.75" customHeight="1">
      <c r="AA47" s="13"/>
    </row>
    <row r="48" spans="1:34" ht="15.75" customHeight="1">
      <c r="AA48" s="13"/>
    </row>
    <row r="49" spans="1:34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3"/>
      <c r="AB49" s="2"/>
      <c r="AC49" s="2"/>
      <c r="AD49" s="2"/>
      <c r="AE49" s="2"/>
      <c r="AF49" s="2"/>
      <c r="AG49" s="2"/>
      <c r="AH49" s="2"/>
    </row>
    <row r="50" spans="1:34" ht="17.25" hidden="1" customHeight="1">
      <c r="A50" s="65" t="e">
        <f ca="1">IF(B2="","",TEXTJOIN(" ,   ",TRUE,AD4:AD43))</f>
        <v>#NAME?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</row>
    <row r="51" spans="1:34" ht="36.75" hidden="1" customHeight="1">
      <c r="A51" s="65" t="str">
        <f>IF(G2="","",TEXTJOIN(" ,  ",TRUE,AE4:AE43))</f>
        <v/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 spans="1:34" ht="57.75" hidden="1" customHeight="1">
      <c r="A52" s="65" t="str">
        <f>IF(L2="","",TEXTJOIN(" ,  ",TRUE,AF4:AF43))</f>
        <v/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 spans="1:34" ht="40.5" hidden="1" customHeight="1">
      <c r="A53" s="65" t="str">
        <f>IF(Q2="","",TEXTJOIN(" ,  ",TRUE,AG4:AG43))</f>
        <v/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</row>
    <row r="54" spans="1:34" ht="33" hidden="1" customHeight="1">
      <c r="A54" s="65" t="str">
        <f>IF(V2="","",TEXTJOIN(" ,  ",TRUE,AH4:AH43))</f>
        <v/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</row>
    <row r="55" spans="1:34" ht="15.75" customHeight="1">
      <c r="AA55" s="13"/>
    </row>
    <row r="56" spans="1:34" ht="15.75" customHeight="1">
      <c r="AA56" s="13"/>
    </row>
    <row r="57" spans="1:34" ht="15.75" customHeight="1">
      <c r="AA57" s="13"/>
    </row>
    <row r="58" spans="1:34" ht="15.75" customHeight="1">
      <c r="AA58" s="13"/>
    </row>
    <row r="59" spans="1:34" ht="15.75" customHeight="1">
      <c r="AA59" s="13"/>
    </row>
    <row r="60" spans="1:34" ht="15.75" customHeight="1">
      <c r="AA60" s="13"/>
    </row>
    <row r="61" spans="1:34" ht="15.75" customHeight="1">
      <c r="AA61" s="13"/>
    </row>
    <row r="62" spans="1:34" ht="15.75" customHeight="1">
      <c r="AA62" s="13"/>
    </row>
    <row r="63" spans="1:34" ht="15.75" customHeight="1">
      <c r="AA63" s="13"/>
    </row>
    <row r="64" spans="1:34" ht="15.75" customHeight="1">
      <c r="AA64" s="13"/>
    </row>
    <row r="65" spans="27:27" ht="15.75" customHeight="1">
      <c r="AA65" s="13"/>
    </row>
    <row r="66" spans="27:27" ht="15.75" customHeight="1">
      <c r="AA66" s="13"/>
    </row>
    <row r="67" spans="27:27" ht="15.75" customHeight="1">
      <c r="AA67" s="13"/>
    </row>
    <row r="68" spans="27:27" ht="15.75" customHeight="1">
      <c r="AA68" s="13"/>
    </row>
    <row r="69" spans="27:27" ht="15.75" customHeight="1">
      <c r="AA69" s="13"/>
    </row>
    <row r="70" spans="27:27" ht="15.75" customHeight="1">
      <c r="AA70" s="13"/>
    </row>
    <row r="71" spans="27:27" ht="15.75" customHeight="1">
      <c r="AA71" s="13"/>
    </row>
    <row r="72" spans="27:27" ht="15.75" customHeight="1">
      <c r="AA72" s="13"/>
    </row>
    <row r="73" spans="27:27" ht="15.75" customHeight="1">
      <c r="AA73" s="13"/>
    </row>
    <row r="74" spans="27:27" ht="15.75" customHeight="1">
      <c r="AA74" s="13"/>
    </row>
    <row r="75" spans="27:27" ht="15.75" customHeight="1">
      <c r="AA75" s="13"/>
    </row>
    <row r="76" spans="27:27" ht="15.75" customHeight="1">
      <c r="AA76" s="13"/>
    </row>
    <row r="77" spans="27:27" ht="15.75" customHeight="1">
      <c r="AA77" s="13"/>
    </row>
    <row r="78" spans="27:27" ht="15.75" customHeight="1">
      <c r="AA78" s="13"/>
    </row>
    <row r="79" spans="27:27" ht="15.75" customHeight="1">
      <c r="AA79" s="13"/>
    </row>
    <row r="80" spans="27:27" ht="15.75" customHeight="1">
      <c r="AA80" s="13"/>
    </row>
    <row r="81" spans="1:27" ht="15.75" customHeight="1">
      <c r="AA81" s="13"/>
    </row>
    <row r="82" spans="1:27" ht="15.75" customHeight="1">
      <c r="AA82" s="13"/>
    </row>
    <row r="83" spans="1:27" ht="15.75" customHeight="1">
      <c r="AA83" s="13"/>
    </row>
    <row r="84" spans="1:27" ht="15.75" customHeight="1">
      <c r="AA84" s="13"/>
    </row>
    <row r="85" spans="1:27" ht="15.75" customHeight="1">
      <c r="AA85" s="13"/>
    </row>
    <row r="86" spans="1:27" ht="15.75" customHeight="1">
      <c r="AA86" s="13"/>
    </row>
    <row r="87" spans="1:27" ht="15.75" customHeight="1">
      <c r="AA87" s="13"/>
    </row>
    <row r="88" spans="1:27" ht="15.75" customHeight="1">
      <c r="AA88" s="13"/>
    </row>
    <row r="89" spans="1:27" ht="15.75" customHeight="1">
      <c r="A89" t="str">
        <f t="shared" ref="A89:A92" si="25">IF(P46="Order",A46,"")</f>
        <v/>
      </c>
      <c r="AA89" s="13"/>
    </row>
    <row r="90" spans="1:27" ht="15.75" customHeight="1">
      <c r="A90" t="str">
        <f t="shared" si="25"/>
        <v/>
      </c>
      <c r="AA90" s="13"/>
    </row>
    <row r="91" spans="1:27" ht="15.75" customHeight="1">
      <c r="A91" t="str">
        <f t="shared" si="25"/>
        <v/>
      </c>
      <c r="AA91" s="13"/>
    </row>
    <row r="92" spans="1:27" ht="15.75" customHeight="1">
      <c r="A92" t="str">
        <f t="shared" si="25"/>
        <v/>
      </c>
      <c r="AA92" s="13"/>
    </row>
    <row r="93" spans="1:27" ht="15.75" customHeight="1">
      <c r="AA93" s="13"/>
    </row>
    <row r="94" spans="1:27" ht="15.75" customHeight="1">
      <c r="A94" t="str">
        <f>IF(P50="Order",#REF!,"")</f>
        <v/>
      </c>
      <c r="AA94" s="13"/>
    </row>
    <row r="95" spans="1:27" ht="15.75" customHeight="1">
      <c r="A95" t="str">
        <f>IF(P51="Order",A50,"")</f>
        <v/>
      </c>
      <c r="AA95" s="13"/>
    </row>
    <row r="96" spans="1:27" ht="15.75" customHeight="1">
      <c r="A96" t="str">
        <f t="shared" ref="A96:A110" si="26">IF(P52="Order",A52,"")</f>
        <v/>
      </c>
      <c r="AA96" s="13"/>
    </row>
    <row r="97" spans="1:27" ht="15.75" customHeight="1">
      <c r="A97" t="str">
        <f t="shared" si="26"/>
        <v/>
      </c>
      <c r="AA97" s="13"/>
    </row>
    <row r="98" spans="1:27" ht="15.75" customHeight="1">
      <c r="A98" t="str">
        <f t="shared" si="26"/>
        <v/>
      </c>
      <c r="AA98" s="13"/>
    </row>
    <row r="99" spans="1:27" ht="15.75" customHeight="1">
      <c r="A99" t="str">
        <f t="shared" si="26"/>
        <v/>
      </c>
      <c r="AA99" s="13"/>
    </row>
    <row r="100" spans="1:27" ht="15.75" customHeight="1">
      <c r="A100" t="str">
        <f t="shared" si="26"/>
        <v/>
      </c>
      <c r="AA100" s="13"/>
    </row>
    <row r="101" spans="1:27" ht="15.75" customHeight="1">
      <c r="A101" t="str">
        <f t="shared" si="26"/>
        <v/>
      </c>
      <c r="AA101" s="13"/>
    </row>
    <row r="102" spans="1:27" ht="15.75" customHeight="1">
      <c r="A102" t="str">
        <f t="shared" si="26"/>
        <v/>
      </c>
      <c r="AA102" s="13"/>
    </row>
    <row r="103" spans="1:27" ht="15.75" customHeight="1">
      <c r="A103" t="str">
        <f t="shared" si="26"/>
        <v/>
      </c>
      <c r="AA103" s="13"/>
    </row>
    <row r="104" spans="1:27" ht="15.75" customHeight="1">
      <c r="A104" t="str">
        <f t="shared" si="26"/>
        <v/>
      </c>
      <c r="AA104" s="13"/>
    </row>
    <row r="105" spans="1:27" ht="15.75" customHeight="1">
      <c r="A105" t="str">
        <f t="shared" si="26"/>
        <v/>
      </c>
      <c r="AA105" s="13"/>
    </row>
    <row r="106" spans="1:27" ht="15.75" customHeight="1">
      <c r="A106" t="str">
        <f t="shared" si="26"/>
        <v/>
      </c>
      <c r="AA106" s="13"/>
    </row>
    <row r="107" spans="1:27" ht="15.75" customHeight="1">
      <c r="A107" t="str">
        <f t="shared" si="26"/>
        <v/>
      </c>
      <c r="AA107" s="13"/>
    </row>
    <row r="108" spans="1:27" ht="15.75" customHeight="1">
      <c r="A108" t="str">
        <f t="shared" si="26"/>
        <v/>
      </c>
      <c r="AA108" s="13"/>
    </row>
    <row r="109" spans="1:27" ht="15.75" customHeight="1">
      <c r="A109" t="str">
        <f t="shared" si="26"/>
        <v/>
      </c>
      <c r="AA109" s="13"/>
    </row>
    <row r="110" spans="1:27" ht="15.75" customHeight="1">
      <c r="A110" t="str">
        <f t="shared" si="26"/>
        <v/>
      </c>
      <c r="AA110" s="13"/>
    </row>
  </sheetData>
  <mergeCells count="357">
    <mergeCell ref="B42:C42"/>
    <mergeCell ref="B35:C35"/>
    <mergeCell ref="B32:C32"/>
    <mergeCell ref="D7:E7"/>
    <mergeCell ref="D20:E20"/>
    <mergeCell ref="B9:C9"/>
    <mergeCell ref="B7:C7"/>
    <mergeCell ref="B17:C17"/>
    <mergeCell ref="B40:C40"/>
    <mergeCell ref="B39:C39"/>
    <mergeCell ref="B31:C31"/>
    <mergeCell ref="B21:C21"/>
    <mergeCell ref="B27:C27"/>
    <mergeCell ref="B22:C22"/>
    <mergeCell ref="B33:C33"/>
    <mergeCell ref="B8:C8"/>
    <mergeCell ref="D27:E27"/>
    <mergeCell ref="B24:C24"/>
    <mergeCell ref="B16:C16"/>
    <mergeCell ref="D16:E16"/>
    <mergeCell ref="B28:C28"/>
    <mergeCell ref="D28:E28"/>
    <mergeCell ref="D30:E30"/>
    <mergeCell ref="X36:Y36"/>
    <mergeCell ref="X33:Y33"/>
    <mergeCell ref="X22:Y22"/>
    <mergeCell ref="Q28:R28"/>
    <mergeCell ref="V28:W28"/>
    <mergeCell ref="V31:W31"/>
    <mergeCell ref="Q32:R32"/>
    <mergeCell ref="N28:O28"/>
    <mergeCell ref="S30:T30"/>
    <mergeCell ref="N30:O30"/>
    <mergeCell ref="V32:W32"/>
    <mergeCell ref="N34:O34"/>
    <mergeCell ref="X31:Y31"/>
    <mergeCell ref="Q29:R29"/>
    <mergeCell ref="S31:T31"/>
    <mergeCell ref="Q23:R23"/>
    <mergeCell ref="N22:O22"/>
    <mergeCell ref="N27:O27"/>
    <mergeCell ref="N29:O29"/>
    <mergeCell ref="X27:Y27"/>
    <mergeCell ref="X28:Y28"/>
    <mergeCell ref="X30:Y30"/>
    <mergeCell ref="V36:W36"/>
    <mergeCell ref="S36:T36"/>
    <mergeCell ref="B43:C43"/>
    <mergeCell ref="V42:W42"/>
    <mergeCell ref="I43:J43"/>
    <mergeCell ref="I42:J42"/>
    <mergeCell ref="L32:M32"/>
    <mergeCell ref="L35:M35"/>
    <mergeCell ref="L36:M36"/>
    <mergeCell ref="L38:M38"/>
    <mergeCell ref="G42:H42"/>
    <mergeCell ref="L34:M34"/>
    <mergeCell ref="I36:J36"/>
    <mergeCell ref="D43:E43"/>
    <mergeCell ref="D42:E42"/>
    <mergeCell ref="S42:T42"/>
    <mergeCell ref="S43:T43"/>
    <mergeCell ref="S33:T33"/>
    <mergeCell ref="Q35:R35"/>
    <mergeCell ref="Q36:R36"/>
    <mergeCell ref="S38:T38"/>
    <mergeCell ref="V43:W43"/>
    <mergeCell ref="V41:W41"/>
    <mergeCell ref="S32:T32"/>
    <mergeCell ref="B36:C36"/>
    <mergeCell ref="B37:C37"/>
    <mergeCell ref="G40:H40"/>
    <mergeCell ref="B30:C30"/>
    <mergeCell ref="D29:E29"/>
    <mergeCell ref="I30:J30"/>
    <mergeCell ref="G35:H35"/>
    <mergeCell ref="L30:M30"/>
    <mergeCell ref="L29:M29"/>
    <mergeCell ref="L31:M31"/>
    <mergeCell ref="I28:J28"/>
    <mergeCell ref="B38:C38"/>
    <mergeCell ref="B41:C41"/>
    <mergeCell ref="D38:E38"/>
    <mergeCell ref="D36:E36"/>
    <mergeCell ref="D21:E21"/>
    <mergeCell ref="D39:E39"/>
    <mergeCell ref="D40:E40"/>
    <mergeCell ref="D24:E24"/>
    <mergeCell ref="D23:E23"/>
    <mergeCell ref="D37:E37"/>
    <mergeCell ref="D41:E41"/>
    <mergeCell ref="X42:Y42"/>
    <mergeCell ref="X43:Y43"/>
    <mergeCell ref="Q34:R34"/>
    <mergeCell ref="L39:M39"/>
    <mergeCell ref="L40:M40"/>
    <mergeCell ref="Q39:R39"/>
    <mergeCell ref="N41:O41"/>
    <mergeCell ref="I40:J40"/>
    <mergeCell ref="L41:M41"/>
    <mergeCell ref="I41:J41"/>
    <mergeCell ref="Q40:R40"/>
    <mergeCell ref="I39:J39"/>
    <mergeCell ref="N39:O39"/>
    <mergeCell ref="N40:O40"/>
    <mergeCell ref="N36:O36"/>
    <mergeCell ref="N37:O37"/>
    <mergeCell ref="Q37:R37"/>
    <mergeCell ref="N35:O35"/>
    <mergeCell ref="Q43:R43"/>
    <mergeCell ref="S37:T37"/>
    <mergeCell ref="L37:M37"/>
    <mergeCell ref="V37:W37"/>
    <mergeCell ref="I35:J35"/>
    <mergeCell ref="I34:J34"/>
    <mergeCell ref="B12:C12"/>
    <mergeCell ref="G16:H16"/>
    <mergeCell ref="D17:E17"/>
    <mergeCell ref="D18:E18"/>
    <mergeCell ref="G38:H38"/>
    <mergeCell ref="Q38:R38"/>
    <mergeCell ref="L28:M28"/>
    <mergeCell ref="I37:J37"/>
    <mergeCell ref="V39:W39"/>
    <mergeCell ref="V24:W24"/>
    <mergeCell ref="V34:W34"/>
    <mergeCell ref="V29:W29"/>
    <mergeCell ref="V35:W35"/>
    <mergeCell ref="Q31:R31"/>
    <mergeCell ref="Q24:R24"/>
    <mergeCell ref="S28:T28"/>
    <mergeCell ref="Q30:R30"/>
    <mergeCell ref="V21:W21"/>
    <mergeCell ref="G28:H28"/>
    <mergeCell ref="G37:H37"/>
    <mergeCell ref="G36:H36"/>
    <mergeCell ref="I32:J32"/>
    <mergeCell ref="I27:J27"/>
    <mergeCell ref="G30:H30"/>
    <mergeCell ref="I16:J16"/>
    <mergeCell ref="N16:O16"/>
    <mergeCell ref="X9:Y9"/>
    <mergeCell ref="X10:Y10"/>
    <mergeCell ref="X41:Y41"/>
    <mergeCell ref="X40:Y40"/>
    <mergeCell ref="X39:Y39"/>
    <mergeCell ref="G34:H34"/>
    <mergeCell ref="X5:Y5"/>
    <mergeCell ref="V40:W40"/>
    <mergeCell ref="X37:Y37"/>
    <mergeCell ref="X38:Y38"/>
    <mergeCell ref="I33:J33"/>
    <mergeCell ref="G31:H31"/>
    <mergeCell ref="G33:H33"/>
    <mergeCell ref="G32:H32"/>
    <mergeCell ref="G27:H27"/>
    <mergeCell ref="V30:W30"/>
    <mergeCell ref="Q27:R27"/>
    <mergeCell ref="Q33:R33"/>
    <mergeCell ref="G41:H41"/>
    <mergeCell ref="G21:H21"/>
    <mergeCell ref="G22:H22"/>
    <mergeCell ref="L21:M21"/>
    <mergeCell ref="A53:AH53"/>
    <mergeCell ref="A54:AH54"/>
    <mergeCell ref="V3:Y3"/>
    <mergeCell ref="A52:AF52"/>
    <mergeCell ref="A50:AF50"/>
    <mergeCell ref="A51:AF51"/>
    <mergeCell ref="B34:C34"/>
    <mergeCell ref="S34:T34"/>
    <mergeCell ref="V19:W19"/>
    <mergeCell ref="L5:M5"/>
    <mergeCell ref="Q4:R4"/>
    <mergeCell ref="D32:E32"/>
    <mergeCell ref="D10:E10"/>
    <mergeCell ref="D19:E19"/>
    <mergeCell ref="L8:M8"/>
    <mergeCell ref="I19:J19"/>
    <mergeCell ref="X8:Y8"/>
    <mergeCell ref="V9:W9"/>
    <mergeCell ref="V23:W23"/>
    <mergeCell ref="G23:H23"/>
    <mergeCell ref="V22:W22"/>
    <mergeCell ref="I38:J38"/>
    <mergeCell ref="S39:T39"/>
    <mergeCell ref="S40:T40"/>
    <mergeCell ref="X35:Y35"/>
    <mergeCell ref="X32:Y32"/>
    <mergeCell ref="X34:Y34"/>
    <mergeCell ref="X12:Y12"/>
    <mergeCell ref="X18:Y18"/>
    <mergeCell ref="X19:Y19"/>
    <mergeCell ref="X20:Y20"/>
    <mergeCell ref="X23:Y23"/>
    <mergeCell ref="X16:Y16"/>
    <mergeCell ref="X24:Y24"/>
    <mergeCell ref="X21:Y21"/>
    <mergeCell ref="X29:Y29"/>
    <mergeCell ref="X17:Y17"/>
    <mergeCell ref="B29:C29"/>
    <mergeCell ref="D35:E35"/>
    <mergeCell ref="D31:E31"/>
    <mergeCell ref="S17:T17"/>
    <mergeCell ref="S16:T16"/>
    <mergeCell ref="S9:T9"/>
    <mergeCell ref="S24:T24"/>
    <mergeCell ref="S29:T29"/>
    <mergeCell ref="S23:T23"/>
    <mergeCell ref="S27:T27"/>
    <mergeCell ref="S10:T10"/>
    <mergeCell ref="S19:T19"/>
    <mergeCell ref="B18:C18"/>
    <mergeCell ref="B19:C19"/>
    <mergeCell ref="B23:C23"/>
    <mergeCell ref="L18:M18"/>
    <mergeCell ref="L23:M23"/>
    <mergeCell ref="L22:M22"/>
    <mergeCell ref="I17:J17"/>
    <mergeCell ref="B20:C20"/>
    <mergeCell ref="L27:M27"/>
    <mergeCell ref="N31:O31"/>
    <mergeCell ref="N32:O32"/>
    <mergeCell ref="L24:M24"/>
    <mergeCell ref="D34:E34"/>
    <mergeCell ref="I31:J31"/>
    <mergeCell ref="N33:O33"/>
    <mergeCell ref="L33:M33"/>
    <mergeCell ref="D9:E9"/>
    <mergeCell ref="G8:H8"/>
    <mergeCell ref="D5:E5"/>
    <mergeCell ref="G18:H18"/>
    <mergeCell ref="G6:H6"/>
    <mergeCell ref="D22:E22"/>
    <mergeCell ref="I20:J20"/>
    <mergeCell ref="N23:O23"/>
    <mergeCell ref="L16:M16"/>
    <mergeCell ref="L17:M17"/>
    <mergeCell ref="G12:H12"/>
    <mergeCell ref="L12:M12"/>
    <mergeCell ref="D33:E33"/>
    <mergeCell ref="N20:O20"/>
    <mergeCell ref="G19:H19"/>
    <mergeCell ref="I21:J21"/>
    <mergeCell ref="L20:M20"/>
    <mergeCell ref="G29:H29"/>
    <mergeCell ref="I29:J29"/>
    <mergeCell ref="N6:O6"/>
    <mergeCell ref="A1:Z1"/>
    <mergeCell ref="A2:A3"/>
    <mergeCell ref="Q2:U2"/>
    <mergeCell ref="G2:K2"/>
    <mergeCell ref="B2:F2"/>
    <mergeCell ref="Q3:T3"/>
    <mergeCell ref="X4:Y4"/>
    <mergeCell ref="B3:E3"/>
    <mergeCell ref="B10:C10"/>
    <mergeCell ref="G3:J3"/>
    <mergeCell ref="L3:O3"/>
    <mergeCell ref="G9:H9"/>
    <mergeCell ref="I9:J9"/>
    <mergeCell ref="I8:J8"/>
    <mergeCell ref="N9:O9"/>
    <mergeCell ref="B4:C4"/>
    <mergeCell ref="L4:M4"/>
    <mergeCell ref="D6:E6"/>
    <mergeCell ref="D8:E8"/>
    <mergeCell ref="G4:H4"/>
    <mergeCell ref="B5:C5"/>
    <mergeCell ref="D4:E4"/>
    <mergeCell ref="B6:C6"/>
    <mergeCell ref="L7:M7"/>
    <mergeCell ref="V2:Z2"/>
    <mergeCell ref="L2:P2"/>
    <mergeCell ref="G7:H7"/>
    <mergeCell ref="L10:M10"/>
    <mergeCell ref="L9:M9"/>
    <mergeCell ref="D12:E12"/>
    <mergeCell ref="L6:M6"/>
    <mergeCell ref="N5:O5"/>
    <mergeCell ref="I10:J10"/>
    <mergeCell ref="G10:H10"/>
    <mergeCell ref="G5:H5"/>
    <mergeCell ref="I5:J5"/>
    <mergeCell ref="I12:J12"/>
    <mergeCell ref="Q5:R5"/>
    <mergeCell ref="X6:Y6"/>
    <mergeCell ref="V5:W5"/>
    <mergeCell ref="S7:T7"/>
    <mergeCell ref="Q8:R8"/>
    <mergeCell ref="I4:J4"/>
    <mergeCell ref="N4:O4"/>
    <mergeCell ref="I6:J6"/>
    <mergeCell ref="I7:J7"/>
    <mergeCell ref="X7:Y7"/>
    <mergeCell ref="V7:W7"/>
    <mergeCell ref="G43:H43"/>
    <mergeCell ref="S41:T41"/>
    <mergeCell ref="G39:H39"/>
    <mergeCell ref="S4:T4"/>
    <mergeCell ref="Q7:R7"/>
    <mergeCell ref="Q6:R6"/>
    <mergeCell ref="Q9:R9"/>
    <mergeCell ref="S12:T12"/>
    <mergeCell ref="V4:W4"/>
    <mergeCell ref="V33:W33"/>
    <mergeCell ref="V27:W27"/>
    <mergeCell ref="S22:T22"/>
    <mergeCell ref="N7:O7"/>
    <mergeCell ref="G24:H24"/>
    <mergeCell ref="G20:H20"/>
    <mergeCell ref="G17:H17"/>
    <mergeCell ref="Q17:R17"/>
    <mergeCell ref="N19:O19"/>
    <mergeCell ref="S20:T20"/>
    <mergeCell ref="S5:T5"/>
    <mergeCell ref="N21:O21"/>
    <mergeCell ref="S6:T6"/>
    <mergeCell ref="V6:W6"/>
    <mergeCell ref="V10:W10"/>
    <mergeCell ref="L43:M43"/>
    <mergeCell ref="N42:O42"/>
    <mergeCell ref="N43:O43"/>
    <mergeCell ref="I18:J18"/>
    <mergeCell ref="L19:M19"/>
    <mergeCell ref="Q18:R18"/>
    <mergeCell ref="Q22:R22"/>
    <mergeCell ref="N24:O24"/>
    <mergeCell ref="I23:J23"/>
    <mergeCell ref="Q20:R20"/>
    <mergeCell ref="Q19:R19"/>
    <mergeCell ref="I22:J22"/>
    <mergeCell ref="N38:O38"/>
    <mergeCell ref="L42:M42"/>
    <mergeCell ref="Q21:R21"/>
    <mergeCell ref="I24:J24"/>
    <mergeCell ref="S18:T18"/>
    <mergeCell ref="V18:W18"/>
    <mergeCell ref="Q12:R12"/>
    <mergeCell ref="V8:W8"/>
    <mergeCell ref="S8:T8"/>
    <mergeCell ref="Q10:R10"/>
    <mergeCell ref="N8:O8"/>
    <mergeCell ref="Q42:R42"/>
    <mergeCell ref="Q41:R41"/>
    <mergeCell ref="S35:T35"/>
    <mergeCell ref="S21:T21"/>
    <mergeCell ref="V38:W38"/>
    <mergeCell ref="V16:W16"/>
    <mergeCell ref="V17:W17"/>
    <mergeCell ref="V12:W12"/>
    <mergeCell ref="V20:W20"/>
    <mergeCell ref="N12:O12"/>
    <mergeCell ref="N10:O10"/>
    <mergeCell ref="Q16:R16"/>
    <mergeCell ref="N18:O18"/>
    <mergeCell ref="N17:O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zoomScale="72" workbookViewId="0">
      <selection activeCell="A55" sqref="A55"/>
    </sheetView>
  </sheetViews>
  <sheetFormatPr defaultColWidth="14.42578125" defaultRowHeight="15" customHeight="1"/>
  <cols>
    <col min="1" max="1" width="66" customWidth="1"/>
    <col min="2" max="2" width="6.85546875" customWidth="1"/>
    <col min="3" max="3" width="7.28515625" customWidth="1"/>
    <col min="4" max="4" width="8" hidden="1" customWidth="1"/>
    <col min="5" max="5" width="7.5703125" customWidth="1"/>
    <col min="6" max="6" width="7.28515625" customWidth="1"/>
    <col min="7" max="7" width="8" hidden="1" customWidth="1"/>
    <col min="8" max="8" width="8" customWidth="1"/>
    <col min="9" max="9" width="7.28515625" customWidth="1"/>
    <col min="10" max="10" width="8" hidden="1" customWidth="1"/>
    <col min="11" max="11" width="10.28515625" customWidth="1"/>
    <col min="12" max="12" width="7.28515625" customWidth="1"/>
    <col min="13" max="13" width="7.7109375" hidden="1" customWidth="1"/>
    <col min="14" max="14" width="9" customWidth="1"/>
    <col min="15" max="15" width="7.28515625" customWidth="1"/>
    <col min="16" max="16" width="9" hidden="1" customWidth="1"/>
    <col min="17" max="17" width="4" customWidth="1"/>
    <col min="18" max="18" width="9" customWidth="1"/>
    <col min="19" max="23" width="9" hidden="1" customWidth="1"/>
  </cols>
  <sheetData>
    <row r="1" spans="1:23" ht="21">
      <c r="A1" s="66" t="s">
        <v>61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23" ht="27" customHeight="1">
      <c r="A2" s="14" t="s">
        <v>9</v>
      </c>
      <c r="B2" s="67">
        <v>46213</v>
      </c>
      <c r="C2" s="60"/>
      <c r="D2" s="57"/>
      <c r="E2" s="67"/>
      <c r="F2" s="60"/>
      <c r="G2" s="57"/>
      <c r="H2" s="67"/>
      <c r="I2" s="60"/>
      <c r="J2" s="57"/>
      <c r="K2" s="67"/>
      <c r="L2" s="60"/>
      <c r="M2" s="57"/>
      <c r="N2" s="67"/>
      <c r="O2" s="60"/>
      <c r="P2" s="57"/>
      <c r="Q2" s="15" t="s">
        <v>62</v>
      </c>
    </row>
    <row r="3" spans="1:23" ht="21">
      <c r="A3" s="16"/>
      <c r="B3" s="68" t="s">
        <v>63</v>
      </c>
      <c r="C3" s="57"/>
      <c r="D3" s="17" t="s">
        <v>11</v>
      </c>
      <c r="E3" s="68" t="s">
        <v>63</v>
      </c>
      <c r="F3" s="57"/>
      <c r="G3" s="17" t="s">
        <v>11</v>
      </c>
      <c r="H3" s="68" t="s">
        <v>63</v>
      </c>
      <c r="I3" s="57"/>
      <c r="J3" s="17" t="s">
        <v>11</v>
      </c>
      <c r="K3" s="68" t="s">
        <v>63</v>
      </c>
      <c r="L3" s="57"/>
      <c r="M3" s="17" t="s">
        <v>11</v>
      </c>
      <c r="N3" s="68" t="s">
        <v>63</v>
      </c>
      <c r="O3" s="57"/>
      <c r="P3" s="17" t="s">
        <v>11</v>
      </c>
      <c r="Q3" s="18"/>
    </row>
    <row r="4" spans="1:23" ht="24.75" customHeight="1">
      <c r="A4" s="19" t="s">
        <v>64</v>
      </c>
      <c r="B4" s="20">
        <v>4</v>
      </c>
      <c r="C4" s="20" t="s">
        <v>14</v>
      </c>
      <c r="D4" s="16" t="str">
        <f t="shared" ref="D4:D35" si="0">IF(B4&lt;=$Q4,"Order","")</f>
        <v>Order</v>
      </c>
      <c r="E4" s="20"/>
      <c r="F4" s="20" t="s">
        <v>14</v>
      </c>
      <c r="G4" s="16" t="str">
        <f>IF(E4&lt;=$Q4,"Order","")</f>
        <v>Order</v>
      </c>
      <c r="H4" s="20"/>
      <c r="I4" s="20" t="s">
        <v>14</v>
      </c>
      <c r="J4" s="16" t="str">
        <f t="shared" ref="J4:J35" si="1">IF(H4&lt;=$Q4,"Order","")</f>
        <v>Order</v>
      </c>
      <c r="K4" s="20"/>
      <c r="L4" s="20" t="s">
        <v>14</v>
      </c>
      <c r="M4" s="16" t="str">
        <f t="shared" ref="M4:M35" si="2">IF(K4&lt;=$Q4,"Order","")</f>
        <v>Order</v>
      </c>
      <c r="N4" s="20"/>
      <c r="O4" s="20" t="s">
        <v>14</v>
      </c>
      <c r="P4" s="16" t="str">
        <f t="shared" ref="P4:P35" si="3">IF(N4&lt;=$Q4,"Order","")</f>
        <v>Order</v>
      </c>
      <c r="Q4" s="21">
        <v>4</v>
      </c>
      <c r="S4" t="str">
        <f t="shared" ref="S4:S21" si="4">IF(D4="Order",A4,"")</f>
        <v>Singlet Bag (8' x 12' 500g)</v>
      </c>
      <c r="T4" t="str">
        <f t="shared" ref="T4:T21" si="5">IF(G4="Order",A4,"")</f>
        <v>Singlet Bag (8' x 12' 500g)</v>
      </c>
      <c r="U4" t="str">
        <f t="shared" ref="U4:U21" si="6">IF(J4="Order",A4,"")</f>
        <v>Singlet Bag (8' x 12' 500g)</v>
      </c>
      <c r="V4" t="str">
        <f t="shared" ref="V4:V21" si="7">IF(M4="Order",A4,"")</f>
        <v>Singlet Bag (8' x 12' 500g)</v>
      </c>
      <c r="W4" t="str">
        <f t="shared" ref="W4:W21" si="8">IF(P4="Order",A4,"")</f>
        <v>Singlet Bag (8' x 12' 500g)</v>
      </c>
    </row>
    <row r="5" spans="1:23" ht="24.75" customHeight="1">
      <c r="A5" s="22" t="s">
        <v>65</v>
      </c>
      <c r="B5" s="23">
        <v>5</v>
      </c>
      <c r="C5" s="23" t="s">
        <v>14</v>
      </c>
      <c r="D5" s="24" t="str">
        <f t="shared" si="0"/>
        <v/>
      </c>
      <c r="E5" s="23"/>
      <c r="F5" s="23" t="s">
        <v>14</v>
      </c>
      <c r="G5" s="24" t="str">
        <f t="shared" ref="G5:G35" si="9">IF(E5&lt;=Q5,"Order","")</f>
        <v>Order</v>
      </c>
      <c r="H5" s="23"/>
      <c r="I5" s="23" t="s">
        <v>14</v>
      </c>
      <c r="J5" s="24" t="str">
        <f t="shared" si="1"/>
        <v>Order</v>
      </c>
      <c r="K5" s="23"/>
      <c r="L5" s="23" t="s">
        <v>14</v>
      </c>
      <c r="M5" s="24" t="str">
        <f t="shared" si="2"/>
        <v>Order</v>
      </c>
      <c r="N5" s="23"/>
      <c r="O5" s="23" t="s">
        <v>14</v>
      </c>
      <c r="P5" s="24" t="str">
        <f t="shared" si="3"/>
        <v>Order</v>
      </c>
      <c r="Q5" s="25">
        <v>4</v>
      </c>
      <c r="S5" t="str">
        <f t="shared" si="4"/>
        <v/>
      </c>
      <c r="T5" t="str">
        <f t="shared" si="5"/>
        <v>PE Singlet Bag (11' x 15' 500g)</v>
      </c>
      <c r="U5" t="str">
        <f t="shared" si="6"/>
        <v>PE Singlet Bag (11' x 15' 500g)</v>
      </c>
      <c r="V5" t="str">
        <f t="shared" si="7"/>
        <v>PE Singlet Bag (11' x 15' 500g)</v>
      </c>
      <c r="W5" t="str">
        <f t="shared" si="8"/>
        <v>PE Singlet Bag (11' x 15' 500g)</v>
      </c>
    </row>
    <row r="6" spans="1:23" ht="24.75" customHeight="1">
      <c r="A6" s="19" t="s">
        <v>66</v>
      </c>
      <c r="B6" s="20">
        <v>4</v>
      </c>
      <c r="C6" s="20" t="s">
        <v>14</v>
      </c>
      <c r="D6" s="16" t="str">
        <f t="shared" si="0"/>
        <v/>
      </c>
      <c r="E6" s="20"/>
      <c r="F6" s="20" t="s">
        <v>14</v>
      </c>
      <c r="G6" s="16" t="str">
        <f t="shared" si="9"/>
        <v>Order</v>
      </c>
      <c r="H6" s="20"/>
      <c r="I6" s="20" t="s">
        <v>14</v>
      </c>
      <c r="J6" s="16" t="str">
        <f t="shared" si="1"/>
        <v>Order</v>
      </c>
      <c r="K6" s="20"/>
      <c r="L6" s="20" t="s">
        <v>14</v>
      </c>
      <c r="M6" s="16" t="str">
        <f t="shared" si="2"/>
        <v>Order</v>
      </c>
      <c r="N6" s="20"/>
      <c r="O6" s="20" t="s">
        <v>14</v>
      </c>
      <c r="P6" s="16" t="str">
        <f t="shared" si="3"/>
        <v>Order</v>
      </c>
      <c r="Q6" s="21">
        <v>3</v>
      </c>
      <c r="S6" t="str">
        <f t="shared" si="4"/>
        <v/>
      </c>
      <c r="T6" t="str">
        <f t="shared" si="5"/>
        <v>PE Singlet Bag (13' x 15' 500g)</v>
      </c>
      <c r="U6" t="str">
        <f t="shared" si="6"/>
        <v>PE Singlet Bag (13' x 15' 500g)</v>
      </c>
      <c r="V6" t="str">
        <f t="shared" si="7"/>
        <v>PE Singlet Bag (13' x 15' 500g)</v>
      </c>
      <c r="W6" t="str">
        <f t="shared" si="8"/>
        <v>PE Singlet Bag (13' x 15' 500g)</v>
      </c>
    </row>
    <row r="7" spans="1:23" ht="24.75" customHeight="1">
      <c r="A7" s="22" t="s">
        <v>67</v>
      </c>
      <c r="B7" s="24">
        <v>12</v>
      </c>
      <c r="C7" s="24" t="s">
        <v>14</v>
      </c>
      <c r="D7" s="24" t="str">
        <f t="shared" si="0"/>
        <v/>
      </c>
      <c r="E7" s="24"/>
      <c r="F7" s="24" t="s">
        <v>14</v>
      </c>
      <c r="G7" s="24" t="str">
        <f t="shared" si="9"/>
        <v>Order</v>
      </c>
      <c r="H7" s="24"/>
      <c r="I7" s="24" t="s">
        <v>14</v>
      </c>
      <c r="J7" s="24" t="str">
        <f t="shared" si="1"/>
        <v>Order</v>
      </c>
      <c r="K7" s="24"/>
      <c r="L7" s="24" t="s">
        <v>14</v>
      </c>
      <c r="M7" s="24" t="str">
        <f t="shared" si="2"/>
        <v>Order</v>
      </c>
      <c r="N7" s="24"/>
      <c r="O7" s="24" t="s">
        <v>14</v>
      </c>
      <c r="P7" s="24" t="str">
        <f t="shared" si="3"/>
        <v>Order</v>
      </c>
      <c r="Q7" s="25">
        <v>3</v>
      </c>
      <c r="S7" t="str">
        <f t="shared" si="4"/>
        <v/>
      </c>
      <c r="T7" t="str">
        <f t="shared" si="5"/>
        <v>CPE / HD 1 Cup Holder Bag (200pcs)</v>
      </c>
      <c r="U7" t="str">
        <f t="shared" si="6"/>
        <v>CPE / HD 1 Cup Holder Bag (200pcs)</v>
      </c>
      <c r="V7" t="str">
        <f t="shared" si="7"/>
        <v>CPE / HD 1 Cup Holder Bag (200pcs)</v>
      </c>
      <c r="W7" t="str">
        <f t="shared" si="8"/>
        <v>CPE / HD 1 Cup Holder Bag (200pcs)</v>
      </c>
    </row>
    <row r="8" spans="1:23" ht="24.75" customHeight="1">
      <c r="A8" s="19" t="s">
        <v>68</v>
      </c>
      <c r="B8" s="20">
        <v>5</v>
      </c>
      <c r="C8" s="20" t="s">
        <v>14</v>
      </c>
      <c r="D8" s="16" t="str">
        <f t="shared" si="0"/>
        <v/>
      </c>
      <c r="E8" s="20"/>
      <c r="F8" s="20" t="s">
        <v>14</v>
      </c>
      <c r="G8" s="16" t="str">
        <f t="shared" si="9"/>
        <v>Order</v>
      </c>
      <c r="H8" s="20"/>
      <c r="I8" s="20" t="s">
        <v>14</v>
      </c>
      <c r="J8" s="16" t="str">
        <f t="shared" si="1"/>
        <v>Order</v>
      </c>
      <c r="K8" s="20"/>
      <c r="L8" s="20" t="s">
        <v>14</v>
      </c>
      <c r="M8" s="16" t="str">
        <f t="shared" si="2"/>
        <v>Order</v>
      </c>
      <c r="N8" s="20"/>
      <c r="O8" s="20" t="s">
        <v>14</v>
      </c>
      <c r="P8" s="16" t="str">
        <f t="shared" si="3"/>
        <v>Order</v>
      </c>
      <c r="Q8" s="21">
        <v>2</v>
      </c>
      <c r="S8" t="str">
        <f t="shared" si="4"/>
        <v/>
      </c>
      <c r="T8" t="str">
        <f t="shared" si="5"/>
        <v>CPE / HD 2 Cup Holder Bag (200pcs)</v>
      </c>
      <c r="U8" t="str">
        <f t="shared" si="6"/>
        <v>CPE / HD 2 Cup Holder Bag (200pcs)</v>
      </c>
      <c r="V8" t="str">
        <f t="shared" si="7"/>
        <v>CPE / HD 2 Cup Holder Bag (200pcs)</v>
      </c>
      <c r="W8" t="str">
        <f t="shared" si="8"/>
        <v>CPE / HD 2 Cup Holder Bag (200pcs)</v>
      </c>
    </row>
    <row r="9" spans="1:23" ht="24.75" customHeight="1">
      <c r="A9" s="22" t="s">
        <v>69</v>
      </c>
      <c r="B9" s="26">
        <v>1</v>
      </c>
      <c r="C9" s="26" t="s">
        <v>14</v>
      </c>
      <c r="D9" s="24" t="str">
        <f t="shared" si="0"/>
        <v>Order</v>
      </c>
      <c r="E9" s="26"/>
      <c r="F9" s="26" t="s">
        <v>14</v>
      </c>
      <c r="G9" s="24" t="str">
        <f t="shared" si="9"/>
        <v>Order</v>
      </c>
      <c r="H9" s="26"/>
      <c r="I9" s="26" t="s">
        <v>14</v>
      </c>
      <c r="J9" s="24" t="str">
        <f t="shared" si="1"/>
        <v>Order</v>
      </c>
      <c r="K9" s="26"/>
      <c r="L9" s="26" t="s">
        <v>14</v>
      </c>
      <c r="M9" s="24" t="str">
        <f t="shared" si="2"/>
        <v>Order</v>
      </c>
      <c r="N9" s="26"/>
      <c r="O9" s="26" t="s">
        <v>14</v>
      </c>
      <c r="P9" s="24" t="str">
        <f t="shared" si="3"/>
        <v>Order</v>
      </c>
      <c r="Q9" s="25">
        <v>5</v>
      </c>
      <c r="S9" t="str">
        <f t="shared" si="4"/>
        <v>Medium Cup (AP 160z PP Cup)</v>
      </c>
      <c r="T9" t="str">
        <f t="shared" si="5"/>
        <v>Medium Cup (AP 160z PP Cup)</v>
      </c>
      <c r="U9" t="str">
        <f t="shared" si="6"/>
        <v>Medium Cup (AP 160z PP Cup)</v>
      </c>
      <c r="V9" t="str">
        <f t="shared" si="7"/>
        <v>Medium Cup (AP 160z PP Cup)</v>
      </c>
      <c r="W9" t="str">
        <f t="shared" si="8"/>
        <v>Medium Cup (AP 160z PP Cup)</v>
      </c>
    </row>
    <row r="10" spans="1:23" ht="24.75" customHeight="1">
      <c r="A10" s="19" t="s">
        <v>70</v>
      </c>
      <c r="B10" s="20">
        <v>3</v>
      </c>
      <c r="C10" s="20" t="s">
        <v>14</v>
      </c>
      <c r="D10" s="16" t="str">
        <f t="shared" si="0"/>
        <v>Order</v>
      </c>
      <c r="E10" s="20"/>
      <c r="F10" s="20" t="s">
        <v>14</v>
      </c>
      <c r="G10" s="16" t="str">
        <f t="shared" si="9"/>
        <v>Order</v>
      </c>
      <c r="H10" s="20"/>
      <c r="I10" s="20" t="s">
        <v>14</v>
      </c>
      <c r="J10" s="16" t="str">
        <f t="shared" si="1"/>
        <v>Order</v>
      </c>
      <c r="K10" s="20"/>
      <c r="L10" s="20" t="s">
        <v>14</v>
      </c>
      <c r="M10" s="16" t="str">
        <f t="shared" si="2"/>
        <v>Order</v>
      </c>
      <c r="N10" s="20"/>
      <c r="O10" s="20" t="s">
        <v>14</v>
      </c>
      <c r="P10" s="16" t="str">
        <f t="shared" si="3"/>
        <v>Order</v>
      </c>
      <c r="Q10" s="21">
        <v>5</v>
      </c>
      <c r="S10" t="str">
        <f t="shared" si="4"/>
        <v>Large Cup (700 PP Cup)</v>
      </c>
      <c r="T10" t="str">
        <f t="shared" si="5"/>
        <v>Large Cup (700 PP Cup)</v>
      </c>
      <c r="U10" t="str">
        <f t="shared" si="6"/>
        <v>Large Cup (700 PP Cup)</v>
      </c>
      <c r="V10" t="str">
        <f t="shared" si="7"/>
        <v>Large Cup (700 PP Cup)</v>
      </c>
      <c r="W10" t="str">
        <f t="shared" si="8"/>
        <v>Large Cup (700 PP Cup)</v>
      </c>
    </row>
    <row r="11" spans="1:23" ht="24.75" customHeight="1">
      <c r="A11" s="22" t="s">
        <v>71</v>
      </c>
      <c r="B11" s="26">
        <v>9</v>
      </c>
      <c r="C11" s="26" t="s">
        <v>14</v>
      </c>
      <c r="D11" s="24" t="str">
        <f t="shared" si="0"/>
        <v/>
      </c>
      <c r="E11" s="26"/>
      <c r="F11" s="26" t="s">
        <v>14</v>
      </c>
      <c r="G11" s="24" t="str">
        <f t="shared" si="9"/>
        <v>Order</v>
      </c>
      <c r="H11" s="26"/>
      <c r="I11" s="26" t="s">
        <v>14</v>
      </c>
      <c r="J11" s="24" t="str">
        <f t="shared" si="1"/>
        <v>Order</v>
      </c>
      <c r="K11" s="26"/>
      <c r="L11" s="26" t="s">
        <v>14</v>
      </c>
      <c r="M11" s="24" t="str">
        <f t="shared" si="2"/>
        <v>Order</v>
      </c>
      <c r="N11" s="26"/>
      <c r="O11" s="26" t="s">
        <v>14</v>
      </c>
      <c r="P11" s="24" t="str">
        <f t="shared" si="3"/>
        <v>Order</v>
      </c>
      <c r="Q11" s="25">
        <v>5</v>
      </c>
      <c r="S11" t="str">
        <f t="shared" si="4"/>
        <v/>
      </c>
      <c r="T11" t="str">
        <f t="shared" si="5"/>
        <v>Medium Dome Lid (Ap Dome Lid)</v>
      </c>
      <c r="U11" t="str">
        <f t="shared" si="6"/>
        <v>Medium Dome Lid (Ap Dome Lid)</v>
      </c>
      <c r="V11" t="str">
        <f t="shared" si="7"/>
        <v>Medium Dome Lid (Ap Dome Lid)</v>
      </c>
      <c r="W11" t="str">
        <f t="shared" si="8"/>
        <v>Medium Dome Lid (Ap Dome Lid)</v>
      </c>
    </row>
    <row r="12" spans="1:23" ht="24.75" customHeight="1">
      <c r="A12" s="19" t="s">
        <v>72</v>
      </c>
      <c r="B12" s="20">
        <v>8</v>
      </c>
      <c r="C12" s="20" t="s">
        <v>14</v>
      </c>
      <c r="D12" s="16" t="str">
        <f t="shared" si="0"/>
        <v/>
      </c>
      <c r="E12" s="20"/>
      <c r="F12" s="20" t="s">
        <v>14</v>
      </c>
      <c r="G12" s="16" t="str">
        <f t="shared" si="9"/>
        <v>Order</v>
      </c>
      <c r="H12" s="20"/>
      <c r="I12" s="20" t="s">
        <v>14</v>
      </c>
      <c r="J12" s="16" t="str">
        <f t="shared" si="1"/>
        <v>Order</v>
      </c>
      <c r="K12" s="20"/>
      <c r="L12" s="20" t="s">
        <v>14</v>
      </c>
      <c r="M12" s="16" t="str">
        <f t="shared" si="2"/>
        <v>Order</v>
      </c>
      <c r="N12" s="20"/>
      <c r="O12" s="20" t="s">
        <v>14</v>
      </c>
      <c r="P12" s="16" t="str">
        <f t="shared" si="3"/>
        <v>Order</v>
      </c>
      <c r="Q12" s="21">
        <v>5</v>
      </c>
      <c r="S12" t="str">
        <f t="shared" si="4"/>
        <v/>
      </c>
      <c r="T12" t="str">
        <f t="shared" si="5"/>
        <v>Large Dome Lid (AO Dome Lid)</v>
      </c>
      <c r="U12" t="str">
        <f t="shared" si="6"/>
        <v>Large Dome Lid (AO Dome Lid)</v>
      </c>
      <c r="V12" t="str">
        <f t="shared" si="7"/>
        <v>Large Dome Lid (AO Dome Lid)</v>
      </c>
      <c r="W12" t="str">
        <f t="shared" si="8"/>
        <v>Large Dome Lid (AO Dome Lid)</v>
      </c>
    </row>
    <row r="13" spans="1:23" ht="24.75" customHeight="1">
      <c r="A13" s="22" t="s">
        <v>73</v>
      </c>
      <c r="B13" s="26">
        <v>9</v>
      </c>
      <c r="C13" s="26" t="s">
        <v>14</v>
      </c>
      <c r="D13" s="24" t="str">
        <f t="shared" si="0"/>
        <v/>
      </c>
      <c r="E13" s="26"/>
      <c r="F13" s="26" t="s">
        <v>14</v>
      </c>
      <c r="G13" s="24" t="str">
        <f t="shared" si="9"/>
        <v>Order</v>
      </c>
      <c r="H13" s="26"/>
      <c r="I13" s="26" t="s">
        <v>14</v>
      </c>
      <c r="J13" s="24" t="str">
        <f t="shared" si="1"/>
        <v>Order</v>
      </c>
      <c r="K13" s="26"/>
      <c r="L13" s="26" t="s">
        <v>14</v>
      </c>
      <c r="M13" s="24" t="str">
        <f t="shared" si="2"/>
        <v>Order</v>
      </c>
      <c r="N13" s="26"/>
      <c r="O13" s="26" t="s">
        <v>14</v>
      </c>
      <c r="P13" s="24" t="str">
        <f t="shared" si="3"/>
        <v>Order</v>
      </c>
      <c r="Q13" s="25">
        <v>5</v>
      </c>
      <c r="S13" t="str">
        <f t="shared" si="4"/>
        <v/>
      </c>
      <c r="T13" t="str">
        <f t="shared" si="5"/>
        <v>Large Flat Lid (AO Lid)</v>
      </c>
      <c r="U13" t="str">
        <f t="shared" si="6"/>
        <v>Large Flat Lid (AO Lid)</v>
      </c>
      <c r="V13" t="str">
        <f t="shared" si="7"/>
        <v>Large Flat Lid (AO Lid)</v>
      </c>
      <c r="W13" t="str">
        <f t="shared" si="8"/>
        <v>Large Flat Lid (AO Lid)</v>
      </c>
    </row>
    <row r="14" spans="1:23" ht="24.75" customHeight="1">
      <c r="A14" s="19" t="s">
        <v>74</v>
      </c>
      <c r="B14" s="20">
        <v>24</v>
      </c>
      <c r="C14" s="20" t="s">
        <v>14</v>
      </c>
      <c r="D14" s="16" t="str">
        <f t="shared" si="0"/>
        <v/>
      </c>
      <c r="E14" s="20"/>
      <c r="F14" s="20" t="s">
        <v>14</v>
      </c>
      <c r="G14" s="16" t="str">
        <f t="shared" si="9"/>
        <v>Order</v>
      </c>
      <c r="H14" s="20"/>
      <c r="I14" s="20" t="s">
        <v>14</v>
      </c>
      <c r="J14" s="16" t="str">
        <f t="shared" si="1"/>
        <v>Order</v>
      </c>
      <c r="K14" s="20"/>
      <c r="L14" s="20" t="s">
        <v>14</v>
      </c>
      <c r="M14" s="16" t="str">
        <f t="shared" si="2"/>
        <v>Order</v>
      </c>
      <c r="N14" s="20"/>
      <c r="O14" s="20" t="s">
        <v>14</v>
      </c>
      <c r="P14" s="16" t="str">
        <f t="shared" si="3"/>
        <v>Order</v>
      </c>
      <c r="Q14" s="21">
        <v>10</v>
      </c>
      <c r="S14" t="str">
        <f t="shared" si="4"/>
        <v/>
      </c>
      <c r="T14" t="str">
        <f t="shared" si="5"/>
        <v>Hot Cup Lid (10 Pack Per Cttn)</v>
      </c>
      <c r="U14" t="str">
        <f t="shared" si="6"/>
        <v>Hot Cup Lid (10 Pack Per Cttn)</v>
      </c>
      <c r="V14" t="str">
        <f t="shared" si="7"/>
        <v>Hot Cup Lid (10 Pack Per Cttn)</v>
      </c>
      <c r="W14" t="str">
        <f t="shared" si="8"/>
        <v>Hot Cup Lid (10 Pack Per Cttn)</v>
      </c>
    </row>
    <row r="15" spans="1:23" ht="24.75" customHeight="1">
      <c r="A15" s="22" t="s">
        <v>75</v>
      </c>
      <c r="B15" s="26">
        <v>13</v>
      </c>
      <c r="C15" s="26" t="s">
        <v>14</v>
      </c>
      <c r="D15" s="24" t="str">
        <f t="shared" si="0"/>
        <v/>
      </c>
      <c r="E15" s="26"/>
      <c r="F15" s="26" t="s">
        <v>14</v>
      </c>
      <c r="G15" s="24" t="str">
        <f t="shared" si="9"/>
        <v>Order</v>
      </c>
      <c r="H15" s="26"/>
      <c r="I15" s="26" t="s">
        <v>14</v>
      </c>
      <c r="J15" s="24" t="str">
        <f t="shared" si="1"/>
        <v>Order</v>
      </c>
      <c r="K15" s="26"/>
      <c r="L15" s="26" t="s">
        <v>14</v>
      </c>
      <c r="M15" s="24" t="str">
        <f t="shared" si="2"/>
        <v>Order</v>
      </c>
      <c r="N15" s="26"/>
      <c r="O15" s="26" t="s">
        <v>14</v>
      </c>
      <c r="P15" s="24" t="str">
        <f t="shared" si="3"/>
        <v>Order</v>
      </c>
      <c r="Q15" s="25">
        <v>10</v>
      </c>
      <c r="S15" t="str">
        <f t="shared" si="4"/>
        <v/>
      </c>
      <c r="T15" t="str">
        <f t="shared" si="5"/>
        <v>10a Double Layer Hot Cup (20 Pack/ Ctn)</v>
      </c>
      <c r="U15" t="str">
        <f t="shared" si="6"/>
        <v>10a Double Layer Hot Cup (20 Pack/ Ctn)</v>
      </c>
      <c r="V15" t="str">
        <f t="shared" si="7"/>
        <v>10a Double Layer Hot Cup (20 Pack/ Ctn)</v>
      </c>
      <c r="W15" t="str">
        <f t="shared" si="8"/>
        <v>10a Double Layer Hot Cup (20 Pack/ Ctn)</v>
      </c>
    </row>
    <row r="16" spans="1:23" ht="24.75" customHeight="1">
      <c r="A16" s="19" t="s">
        <v>76</v>
      </c>
      <c r="B16" s="20">
        <v>23</v>
      </c>
      <c r="C16" s="20" t="s">
        <v>14</v>
      </c>
      <c r="D16" s="16" t="str">
        <f t="shared" si="0"/>
        <v/>
      </c>
      <c r="E16" s="20"/>
      <c r="F16" s="20" t="s">
        <v>14</v>
      </c>
      <c r="G16" s="16" t="str">
        <f t="shared" si="9"/>
        <v>Order</v>
      </c>
      <c r="H16" s="20"/>
      <c r="I16" s="20" t="s">
        <v>14</v>
      </c>
      <c r="J16" s="16" t="str">
        <f t="shared" si="1"/>
        <v>Order</v>
      </c>
      <c r="K16" s="20"/>
      <c r="L16" s="20" t="s">
        <v>14</v>
      </c>
      <c r="M16" s="16" t="str">
        <f t="shared" si="2"/>
        <v>Order</v>
      </c>
      <c r="N16" s="20"/>
      <c r="O16" s="20" t="s">
        <v>14</v>
      </c>
      <c r="P16" s="16" t="str">
        <f t="shared" si="3"/>
        <v>Order</v>
      </c>
      <c r="Q16" s="21">
        <v>10</v>
      </c>
      <c r="S16" t="str">
        <f t="shared" si="4"/>
        <v/>
      </c>
      <c r="T16" t="str">
        <f t="shared" si="5"/>
        <v>Large Double Layer Hot Cup (20 Pack/ Ctn)</v>
      </c>
      <c r="U16" t="str">
        <f t="shared" si="6"/>
        <v>Large Double Layer Hot Cup (20 Pack/ Ctn)</v>
      </c>
      <c r="V16" t="str">
        <f t="shared" si="7"/>
        <v>Large Double Layer Hot Cup (20 Pack/ Ctn)</v>
      </c>
      <c r="W16" t="str">
        <f t="shared" si="8"/>
        <v>Large Double Layer Hot Cup (20 Pack/ Ctn)</v>
      </c>
    </row>
    <row r="17" spans="1:23" ht="24.75" customHeight="1">
      <c r="A17" s="22" t="s">
        <v>77</v>
      </c>
      <c r="B17" s="26">
        <v>6</v>
      </c>
      <c r="C17" s="26" t="s">
        <v>14</v>
      </c>
      <c r="D17" s="24" t="str">
        <f t="shared" si="0"/>
        <v>Order</v>
      </c>
      <c r="E17" s="26"/>
      <c r="F17" s="26" t="s">
        <v>14</v>
      </c>
      <c r="G17" s="24" t="str">
        <f t="shared" si="9"/>
        <v>Order</v>
      </c>
      <c r="H17" s="26"/>
      <c r="I17" s="26" t="s">
        <v>14</v>
      </c>
      <c r="J17" s="24" t="str">
        <f t="shared" si="1"/>
        <v>Order</v>
      </c>
      <c r="K17" s="26"/>
      <c r="L17" s="26" t="s">
        <v>14</v>
      </c>
      <c r="M17" s="24" t="str">
        <f t="shared" si="2"/>
        <v>Order</v>
      </c>
      <c r="N17" s="26"/>
      <c r="O17" s="26" t="s">
        <v>14</v>
      </c>
      <c r="P17" s="24" t="str">
        <f t="shared" si="3"/>
        <v>Order</v>
      </c>
      <c r="Q17" s="25">
        <v>8</v>
      </c>
      <c r="S17" t="str">
        <f t="shared" si="4"/>
        <v>Plastic Spoon (Black)</v>
      </c>
      <c r="T17" t="str">
        <f t="shared" si="5"/>
        <v>Plastic Spoon (Black)</v>
      </c>
      <c r="U17" t="str">
        <f t="shared" si="6"/>
        <v>Plastic Spoon (Black)</v>
      </c>
      <c r="V17" t="str">
        <f t="shared" si="7"/>
        <v>Plastic Spoon (Black)</v>
      </c>
      <c r="W17" t="str">
        <f t="shared" si="8"/>
        <v>Plastic Spoon (Black)</v>
      </c>
    </row>
    <row r="18" spans="1:23" ht="24.75" customHeight="1">
      <c r="A18" s="19" t="s">
        <v>78</v>
      </c>
      <c r="B18" s="20">
        <v>36</v>
      </c>
      <c r="C18" s="20" t="s">
        <v>14</v>
      </c>
      <c r="D18" s="16" t="str">
        <f t="shared" si="0"/>
        <v>Order</v>
      </c>
      <c r="E18" s="20"/>
      <c r="F18" s="20" t="s">
        <v>14</v>
      </c>
      <c r="G18" s="16" t="str">
        <f t="shared" si="9"/>
        <v>Order</v>
      </c>
      <c r="H18" s="20"/>
      <c r="I18" s="20" t="s">
        <v>14</v>
      </c>
      <c r="J18" s="16" t="str">
        <f t="shared" si="1"/>
        <v>Order</v>
      </c>
      <c r="K18" s="20"/>
      <c r="L18" s="20" t="s">
        <v>14</v>
      </c>
      <c r="M18" s="16" t="str">
        <f t="shared" si="2"/>
        <v>Order</v>
      </c>
      <c r="N18" s="20"/>
      <c r="O18" s="20" t="s">
        <v>14</v>
      </c>
      <c r="P18" s="16" t="str">
        <f t="shared" si="3"/>
        <v>Order</v>
      </c>
      <c r="Q18" s="21">
        <v>50</v>
      </c>
      <c r="S18" t="str">
        <f t="shared" si="4"/>
        <v>Paper Straw Single Wrap (100's) Small</v>
      </c>
      <c r="T18" t="str">
        <f t="shared" si="5"/>
        <v>Paper Straw Single Wrap (100's) Small</v>
      </c>
      <c r="U18" t="str">
        <f t="shared" si="6"/>
        <v>Paper Straw Single Wrap (100's) Small</v>
      </c>
      <c r="V18" t="str">
        <f t="shared" si="7"/>
        <v>Paper Straw Single Wrap (100's) Small</v>
      </c>
      <c r="W18" t="str">
        <f t="shared" si="8"/>
        <v>Paper Straw Single Wrap (100's) Small</v>
      </c>
    </row>
    <row r="19" spans="1:23" ht="24.75" customHeight="1">
      <c r="A19" s="22" t="s">
        <v>79</v>
      </c>
      <c r="B19" s="26">
        <v>10</v>
      </c>
      <c r="C19" s="26" t="s">
        <v>14</v>
      </c>
      <c r="D19" s="24" t="str">
        <f t="shared" si="0"/>
        <v/>
      </c>
      <c r="E19" s="26"/>
      <c r="F19" s="26" t="s">
        <v>14</v>
      </c>
      <c r="G19" s="24" t="str">
        <f t="shared" si="9"/>
        <v>Order</v>
      </c>
      <c r="H19" s="26"/>
      <c r="I19" s="26" t="s">
        <v>14</v>
      </c>
      <c r="J19" s="24" t="str">
        <f t="shared" si="1"/>
        <v>Order</v>
      </c>
      <c r="K19" s="26"/>
      <c r="L19" s="26" t="s">
        <v>14</v>
      </c>
      <c r="M19" s="24" t="str">
        <f t="shared" si="2"/>
        <v>Order</v>
      </c>
      <c r="N19" s="26"/>
      <c r="O19" s="26" t="s">
        <v>14</v>
      </c>
      <c r="P19" s="24" t="str">
        <f t="shared" si="3"/>
        <v>Order</v>
      </c>
      <c r="Q19" s="25">
        <v>5</v>
      </c>
      <c r="S19" t="str">
        <f t="shared" si="4"/>
        <v/>
      </c>
      <c r="T19" t="str">
        <f t="shared" si="5"/>
        <v>Paper Straw Single Wrap (100's) Large</v>
      </c>
      <c r="U19" t="str">
        <f t="shared" si="6"/>
        <v>Paper Straw Single Wrap (100's) Large</v>
      </c>
      <c r="V19" t="str">
        <f t="shared" si="7"/>
        <v>Paper Straw Single Wrap (100's) Large</v>
      </c>
      <c r="W19" t="str">
        <f t="shared" si="8"/>
        <v>Paper Straw Single Wrap (100's) Large</v>
      </c>
    </row>
    <row r="20" spans="1:23" ht="24.75" customHeight="1">
      <c r="A20" s="19" t="s">
        <v>80</v>
      </c>
      <c r="B20" s="20">
        <v>2</v>
      </c>
      <c r="C20" s="20" t="s">
        <v>14</v>
      </c>
      <c r="D20" s="16" t="str">
        <f t="shared" si="0"/>
        <v/>
      </c>
      <c r="E20" s="20"/>
      <c r="F20" s="20" t="s">
        <v>14</v>
      </c>
      <c r="G20" s="16" t="str">
        <f t="shared" si="9"/>
        <v>Order</v>
      </c>
      <c r="H20" s="20"/>
      <c r="I20" s="20" t="s">
        <v>14</v>
      </c>
      <c r="J20" s="16" t="str">
        <f t="shared" si="1"/>
        <v>Order</v>
      </c>
      <c r="K20" s="20"/>
      <c r="L20" s="20" t="s">
        <v>14</v>
      </c>
      <c r="M20" s="16" t="str">
        <f t="shared" si="2"/>
        <v>Order</v>
      </c>
      <c r="N20" s="20"/>
      <c r="O20" s="20" t="s">
        <v>14</v>
      </c>
      <c r="P20" s="16" t="str">
        <f t="shared" si="3"/>
        <v>Order</v>
      </c>
      <c r="Q20" s="21">
        <v>0.5</v>
      </c>
      <c r="S20" t="str">
        <f t="shared" si="4"/>
        <v/>
      </c>
      <c r="T20" t="str">
        <f t="shared" si="5"/>
        <v>Plastic Bag FF Medium (S/B 20x24 1kg) White</v>
      </c>
      <c r="U20" t="str">
        <f t="shared" si="6"/>
        <v>Plastic Bag FF Medium (S/B 20x24 1kg) White</v>
      </c>
      <c r="V20" t="str">
        <f t="shared" si="7"/>
        <v>Plastic Bag FF Medium (S/B 20x24 1kg) White</v>
      </c>
      <c r="W20" t="str">
        <f t="shared" si="8"/>
        <v>Plastic Bag FF Medium (S/B 20x24 1kg) White</v>
      </c>
    </row>
    <row r="21" spans="1:23" ht="24.75" customHeight="1">
      <c r="A21" s="22" t="s">
        <v>81</v>
      </c>
      <c r="B21" s="26">
        <v>0.5</v>
      </c>
      <c r="C21" s="26" t="s">
        <v>14</v>
      </c>
      <c r="D21" s="24" t="str">
        <f t="shared" si="0"/>
        <v>Order</v>
      </c>
      <c r="E21" s="26"/>
      <c r="F21" s="26" t="s">
        <v>14</v>
      </c>
      <c r="G21" s="24" t="str">
        <f t="shared" si="9"/>
        <v>Order</v>
      </c>
      <c r="H21" s="26"/>
      <c r="I21" s="26" t="s">
        <v>14</v>
      </c>
      <c r="J21" s="24" t="str">
        <f t="shared" si="1"/>
        <v>Order</v>
      </c>
      <c r="K21" s="26"/>
      <c r="L21" s="26" t="s">
        <v>14</v>
      </c>
      <c r="M21" s="24" t="str">
        <f t="shared" si="2"/>
        <v>Order</v>
      </c>
      <c r="N21" s="26"/>
      <c r="O21" s="26" t="s">
        <v>14</v>
      </c>
      <c r="P21" s="24" t="str">
        <f t="shared" si="3"/>
        <v>Order</v>
      </c>
      <c r="Q21" s="25">
        <v>0.5</v>
      </c>
      <c r="S21" t="str">
        <f t="shared" si="4"/>
        <v>Plastic Bag FF Large (S/B 24x28) Red</v>
      </c>
      <c r="T21" t="str">
        <f t="shared" si="5"/>
        <v>Plastic Bag FF Large (S/B 24x28) Red</v>
      </c>
      <c r="U21" t="str">
        <f t="shared" si="6"/>
        <v>Plastic Bag FF Large (S/B 24x28) Red</v>
      </c>
      <c r="V21" t="str">
        <f t="shared" si="7"/>
        <v>Plastic Bag FF Large (S/B 24x28) Red</v>
      </c>
      <c r="W21" t="str">
        <f t="shared" si="8"/>
        <v>Plastic Bag FF Large (S/B 24x28) Red</v>
      </c>
    </row>
    <row r="22" spans="1:23" ht="15.75" customHeight="1">
      <c r="A22" s="19" t="s">
        <v>82</v>
      </c>
      <c r="B22" s="20">
        <v>0.3</v>
      </c>
      <c r="C22" s="20" t="s">
        <v>14</v>
      </c>
      <c r="D22" s="16" t="str">
        <f t="shared" si="0"/>
        <v>Order</v>
      </c>
      <c r="E22" s="20"/>
      <c r="F22" s="20" t="s">
        <v>14</v>
      </c>
      <c r="G22" s="16" t="str">
        <f t="shared" si="9"/>
        <v>Order</v>
      </c>
      <c r="H22" s="20"/>
      <c r="I22" s="20" t="s">
        <v>14</v>
      </c>
      <c r="J22" s="16" t="str">
        <f t="shared" si="1"/>
        <v>Order</v>
      </c>
      <c r="K22" s="20"/>
      <c r="L22" s="20" t="s">
        <v>14</v>
      </c>
      <c r="M22" s="16" t="str">
        <f t="shared" si="2"/>
        <v>Order</v>
      </c>
      <c r="N22" s="20"/>
      <c r="O22" s="20" t="s">
        <v>14</v>
      </c>
      <c r="P22" s="16" t="str">
        <f t="shared" si="3"/>
        <v>Order</v>
      </c>
      <c r="Q22" s="21">
        <v>0.5</v>
      </c>
    </row>
    <row r="23" spans="1:23" ht="15.75" customHeight="1">
      <c r="A23" s="22" t="s">
        <v>83</v>
      </c>
      <c r="B23" s="26">
        <v>2.1</v>
      </c>
      <c r="C23" s="26" t="s">
        <v>14</v>
      </c>
      <c r="D23" s="24" t="str">
        <f t="shared" si="0"/>
        <v/>
      </c>
      <c r="E23" s="26"/>
      <c r="F23" s="26" t="s">
        <v>14</v>
      </c>
      <c r="G23" s="24" t="str">
        <f t="shared" si="9"/>
        <v>Order</v>
      </c>
      <c r="H23" s="26"/>
      <c r="I23" s="26" t="s">
        <v>14</v>
      </c>
      <c r="J23" s="24" t="str">
        <f t="shared" si="1"/>
        <v>Order</v>
      </c>
      <c r="K23" s="26"/>
      <c r="L23" s="26" t="s">
        <v>14</v>
      </c>
      <c r="M23" s="24" t="str">
        <f t="shared" si="2"/>
        <v>Order</v>
      </c>
      <c r="N23" s="26"/>
      <c r="O23" s="26" t="s">
        <v>14</v>
      </c>
      <c r="P23" s="24" t="str">
        <f t="shared" si="3"/>
        <v>Order</v>
      </c>
      <c r="Q23" s="25">
        <v>0.5</v>
      </c>
    </row>
    <row r="24" spans="1:23" ht="24.75" customHeight="1">
      <c r="A24" s="19" t="s">
        <v>84</v>
      </c>
      <c r="B24" s="20">
        <v>1</v>
      </c>
      <c r="C24" s="20" t="s">
        <v>14</v>
      </c>
      <c r="D24" s="16" t="str">
        <f t="shared" si="0"/>
        <v/>
      </c>
      <c r="E24" s="20"/>
      <c r="F24" s="20" t="s">
        <v>14</v>
      </c>
      <c r="G24" s="16" t="str">
        <f t="shared" si="9"/>
        <v>Order</v>
      </c>
      <c r="H24" s="20"/>
      <c r="I24" s="20" t="s">
        <v>14</v>
      </c>
      <c r="J24" s="16" t="str">
        <f t="shared" si="1"/>
        <v>Order</v>
      </c>
      <c r="K24" s="20"/>
      <c r="L24" s="20" t="s">
        <v>14</v>
      </c>
      <c r="M24" s="16" t="str">
        <f t="shared" si="2"/>
        <v>Order</v>
      </c>
      <c r="N24" s="20"/>
      <c r="O24" s="20" t="s">
        <v>14</v>
      </c>
      <c r="P24" s="16" t="str">
        <f t="shared" si="3"/>
        <v>Order</v>
      </c>
      <c r="Q24" s="21">
        <v>0.5</v>
      </c>
      <c r="S24" t="str">
        <f t="shared" ref="S24:S35" si="10">IF(D24="Order",A24,"")</f>
        <v/>
      </c>
      <c r="T24" t="str">
        <f t="shared" ref="T24:T35" si="11">IF(G24="Order",A24,"")</f>
        <v>HD pkt 5'x8' @ 500g</v>
      </c>
      <c r="U24" t="str">
        <f t="shared" ref="U24:U35" si="12">IF(J24="Order",A24,"")</f>
        <v>HD pkt 5'x8' @ 500g</v>
      </c>
      <c r="V24" t="str">
        <f t="shared" ref="V24:V35" si="13">IF(M24="Order",A24,"")</f>
        <v>HD pkt 5'x8' @ 500g</v>
      </c>
      <c r="W24" t="str">
        <f t="shared" ref="W24:W35" si="14">IF(P24="Order",A24,"")</f>
        <v>HD pkt 5'x8' @ 500g</v>
      </c>
    </row>
    <row r="25" spans="1:23" ht="24.75" customHeight="1">
      <c r="A25" s="22" t="s">
        <v>85</v>
      </c>
      <c r="B25" s="26">
        <v>1.5</v>
      </c>
      <c r="C25" s="26" t="s">
        <v>14</v>
      </c>
      <c r="D25" s="24" t="str">
        <f t="shared" si="0"/>
        <v/>
      </c>
      <c r="E25" s="26"/>
      <c r="F25" s="26" t="s">
        <v>14</v>
      </c>
      <c r="G25" s="24" t="str">
        <f t="shared" si="9"/>
        <v>Order</v>
      </c>
      <c r="H25" s="26"/>
      <c r="I25" s="26" t="s">
        <v>14</v>
      </c>
      <c r="J25" s="24" t="str">
        <f t="shared" si="1"/>
        <v>Order</v>
      </c>
      <c r="K25" s="26"/>
      <c r="L25" s="26" t="s">
        <v>14</v>
      </c>
      <c r="M25" s="24" t="str">
        <f t="shared" si="2"/>
        <v>Order</v>
      </c>
      <c r="N25" s="26"/>
      <c r="O25" s="26" t="s">
        <v>14</v>
      </c>
      <c r="P25" s="24" t="str">
        <f t="shared" si="3"/>
        <v>Order</v>
      </c>
      <c r="Q25" s="25">
        <v>0.5</v>
      </c>
      <c r="S25" t="str">
        <f t="shared" si="10"/>
        <v/>
      </c>
      <c r="T25" t="str">
        <f t="shared" si="11"/>
        <v>HD pkt 7x10' @ 1kg</v>
      </c>
      <c r="U25" t="str">
        <f t="shared" si="12"/>
        <v>HD pkt 7x10' @ 1kg</v>
      </c>
      <c r="V25" t="str">
        <f t="shared" si="13"/>
        <v>HD pkt 7x10' @ 1kg</v>
      </c>
      <c r="W25" t="str">
        <f t="shared" si="14"/>
        <v>HD pkt 7x10' @ 1kg</v>
      </c>
    </row>
    <row r="26" spans="1:23" ht="24.75" customHeight="1">
      <c r="A26" s="19" t="s">
        <v>86</v>
      </c>
      <c r="B26" s="20">
        <v>1</v>
      </c>
      <c r="C26" s="20" t="s">
        <v>14</v>
      </c>
      <c r="D26" s="16" t="str">
        <f t="shared" si="0"/>
        <v>Order</v>
      </c>
      <c r="E26" s="20"/>
      <c r="F26" s="20" t="s">
        <v>14</v>
      </c>
      <c r="G26" s="16" t="str">
        <f t="shared" si="9"/>
        <v>Order</v>
      </c>
      <c r="H26" s="20"/>
      <c r="I26" s="20" t="s">
        <v>14</v>
      </c>
      <c r="J26" s="16" t="str">
        <f t="shared" si="1"/>
        <v>Order</v>
      </c>
      <c r="K26" s="20"/>
      <c r="L26" s="20" t="s">
        <v>14</v>
      </c>
      <c r="M26" s="16" t="str">
        <f t="shared" si="2"/>
        <v>Order</v>
      </c>
      <c r="N26" s="20"/>
      <c r="O26" s="20" t="s">
        <v>14</v>
      </c>
      <c r="P26" s="16" t="str">
        <f t="shared" si="3"/>
        <v>Order</v>
      </c>
      <c r="Q26" s="21">
        <v>5</v>
      </c>
      <c r="S26" t="str">
        <f t="shared" si="10"/>
        <v>Paper Bag  (4" Brown Paper 100's)</v>
      </c>
      <c r="T26" t="str">
        <f t="shared" si="11"/>
        <v>Paper Bag  (4" Brown Paper 100's)</v>
      </c>
      <c r="U26" t="str">
        <f t="shared" si="12"/>
        <v>Paper Bag  (4" Brown Paper 100's)</v>
      </c>
      <c r="V26" t="str">
        <f t="shared" si="13"/>
        <v>Paper Bag  (4" Brown Paper 100's)</v>
      </c>
      <c r="W26" t="str">
        <f t="shared" si="14"/>
        <v>Paper Bag  (4" Brown Paper 100's)</v>
      </c>
    </row>
    <row r="27" spans="1:23" ht="24.75" customHeight="1">
      <c r="A27" s="22" t="s">
        <v>87</v>
      </c>
      <c r="B27" s="26">
        <v>1</v>
      </c>
      <c r="C27" s="26" t="s">
        <v>14</v>
      </c>
      <c r="D27" s="24" t="str">
        <f t="shared" si="0"/>
        <v>Order</v>
      </c>
      <c r="E27" s="26"/>
      <c r="F27" s="26" t="s">
        <v>14</v>
      </c>
      <c r="G27" s="24" t="str">
        <f t="shared" si="9"/>
        <v>Order</v>
      </c>
      <c r="H27" s="26"/>
      <c r="I27" s="26" t="s">
        <v>14</v>
      </c>
      <c r="J27" s="24" t="str">
        <f t="shared" si="1"/>
        <v>Order</v>
      </c>
      <c r="K27" s="26"/>
      <c r="L27" s="26" t="s">
        <v>14</v>
      </c>
      <c r="M27" s="24" t="str">
        <f t="shared" si="2"/>
        <v>Order</v>
      </c>
      <c r="N27" s="26"/>
      <c r="O27" s="26" t="s">
        <v>14</v>
      </c>
      <c r="P27" s="24" t="str">
        <f t="shared" si="3"/>
        <v>Order</v>
      </c>
      <c r="Q27" s="25">
        <v>5</v>
      </c>
      <c r="S27" t="str">
        <f t="shared" si="10"/>
        <v>Paper Bag (4" White Paper Bag)</v>
      </c>
      <c r="T27" t="str">
        <f t="shared" si="11"/>
        <v>Paper Bag (4" White Paper Bag)</v>
      </c>
      <c r="U27" t="str">
        <f t="shared" si="12"/>
        <v>Paper Bag (4" White Paper Bag)</v>
      </c>
      <c r="V27" t="str">
        <f t="shared" si="13"/>
        <v>Paper Bag (4" White Paper Bag)</v>
      </c>
      <c r="W27" t="str">
        <f t="shared" si="14"/>
        <v>Paper Bag (4" White Paper Bag)</v>
      </c>
    </row>
    <row r="28" spans="1:23" ht="24.75" customHeight="1">
      <c r="A28" s="19" t="s">
        <v>88</v>
      </c>
      <c r="B28" s="20">
        <v>2</v>
      </c>
      <c r="C28" s="20" t="s">
        <v>14</v>
      </c>
      <c r="D28" s="16" t="str">
        <f t="shared" si="0"/>
        <v>Order</v>
      </c>
      <c r="E28" s="20"/>
      <c r="F28" s="20" t="s">
        <v>14</v>
      </c>
      <c r="G28" s="16" t="str">
        <f t="shared" si="9"/>
        <v>Order</v>
      </c>
      <c r="H28" s="20"/>
      <c r="I28" s="20" t="s">
        <v>14</v>
      </c>
      <c r="J28" s="16" t="str">
        <f t="shared" si="1"/>
        <v>Order</v>
      </c>
      <c r="K28" s="20"/>
      <c r="L28" s="20" t="s">
        <v>14</v>
      </c>
      <c r="M28" s="16" t="str">
        <f t="shared" si="2"/>
        <v>Order</v>
      </c>
      <c r="N28" s="20"/>
      <c r="O28" s="20" t="s">
        <v>14</v>
      </c>
      <c r="P28" s="16" t="str">
        <f t="shared" si="3"/>
        <v>Order</v>
      </c>
      <c r="Q28" s="21">
        <v>5</v>
      </c>
      <c r="S28" t="str">
        <f t="shared" si="10"/>
        <v>ABBA Food Paper Tray</v>
      </c>
      <c r="T28" t="str">
        <f t="shared" si="11"/>
        <v>ABBA Food Paper Tray</v>
      </c>
      <c r="U28" t="str">
        <f t="shared" si="12"/>
        <v>ABBA Food Paper Tray</v>
      </c>
      <c r="V28" t="str">
        <f t="shared" si="13"/>
        <v>ABBA Food Paper Tray</v>
      </c>
      <c r="W28" t="str">
        <f t="shared" si="14"/>
        <v>ABBA Food Paper Tray</v>
      </c>
    </row>
    <row r="29" spans="1:23" ht="24.75" customHeight="1">
      <c r="A29" s="22" t="s">
        <v>89</v>
      </c>
      <c r="B29" s="26">
        <v>1</v>
      </c>
      <c r="C29" s="26" t="s">
        <v>14</v>
      </c>
      <c r="D29" s="24" t="str">
        <f t="shared" si="0"/>
        <v>Order</v>
      </c>
      <c r="E29" s="26"/>
      <c r="F29" s="26" t="s">
        <v>14</v>
      </c>
      <c r="G29" s="24" t="str">
        <f t="shared" si="9"/>
        <v>Order</v>
      </c>
      <c r="H29" s="26"/>
      <c r="I29" s="26" t="s">
        <v>14</v>
      </c>
      <c r="J29" s="24" t="str">
        <f t="shared" si="1"/>
        <v>Order</v>
      </c>
      <c r="K29" s="26"/>
      <c r="L29" s="26" t="s">
        <v>14</v>
      </c>
      <c r="M29" s="24" t="str">
        <f t="shared" si="2"/>
        <v>Order</v>
      </c>
      <c r="N29" s="26"/>
      <c r="O29" s="26" t="s">
        <v>14</v>
      </c>
      <c r="P29" s="24" t="str">
        <f t="shared" si="3"/>
        <v>Order</v>
      </c>
      <c r="Q29" s="25">
        <v>4</v>
      </c>
      <c r="S29" t="str">
        <f t="shared" si="10"/>
        <v>Y500 Black Rec</v>
      </c>
      <c r="T29" t="str">
        <f t="shared" si="11"/>
        <v>Y500 Black Rec</v>
      </c>
      <c r="U29" t="str">
        <f t="shared" si="12"/>
        <v>Y500 Black Rec</v>
      </c>
      <c r="V29" t="str">
        <f t="shared" si="13"/>
        <v>Y500 Black Rec</v>
      </c>
      <c r="W29" t="str">
        <f t="shared" si="14"/>
        <v>Y500 Black Rec</v>
      </c>
    </row>
    <row r="30" spans="1:23" ht="24.75" customHeight="1">
      <c r="A30" s="19" t="s">
        <v>90</v>
      </c>
      <c r="B30" s="20">
        <v>2</v>
      </c>
      <c r="C30" s="20" t="s">
        <v>14</v>
      </c>
      <c r="D30" s="16" t="str">
        <f t="shared" si="0"/>
        <v>Order</v>
      </c>
      <c r="E30" s="20"/>
      <c r="F30" s="20" t="s">
        <v>14</v>
      </c>
      <c r="G30" s="16" t="str">
        <f t="shared" si="9"/>
        <v>Order</v>
      </c>
      <c r="H30" s="20"/>
      <c r="I30" s="20" t="s">
        <v>14</v>
      </c>
      <c r="J30" s="16" t="str">
        <f t="shared" si="1"/>
        <v>Order</v>
      </c>
      <c r="K30" s="20"/>
      <c r="L30" s="20" t="s">
        <v>14</v>
      </c>
      <c r="M30" s="16" t="str">
        <f t="shared" si="2"/>
        <v>Order</v>
      </c>
      <c r="N30" s="20"/>
      <c r="O30" s="20" t="s">
        <v>14</v>
      </c>
      <c r="P30" s="16" t="str">
        <f t="shared" si="3"/>
        <v>Order</v>
      </c>
      <c r="Q30" s="21">
        <v>4</v>
      </c>
      <c r="S30" t="str">
        <f t="shared" si="10"/>
        <v>Y750 Black Rec</v>
      </c>
      <c r="T30" t="str">
        <f t="shared" si="11"/>
        <v>Y750 Black Rec</v>
      </c>
      <c r="U30" t="str">
        <f t="shared" si="12"/>
        <v>Y750 Black Rec</v>
      </c>
      <c r="V30" t="str">
        <f t="shared" si="13"/>
        <v>Y750 Black Rec</v>
      </c>
      <c r="W30" t="str">
        <f t="shared" si="14"/>
        <v>Y750 Black Rec</v>
      </c>
    </row>
    <row r="31" spans="1:23" ht="24.75" customHeight="1">
      <c r="A31" s="22" t="s">
        <v>91</v>
      </c>
      <c r="B31" s="26">
        <v>1</v>
      </c>
      <c r="C31" s="26" t="s">
        <v>14</v>
      </c>
      <c r="D31" s="24" t="str">
        <f t="shared" si="0"/>
        <v/>
      </c>
      <c r="E31" s="26"/>
      <c r="F31" s="26" t="s">
        <v>14</v>
      </c>
      <c r="G31" s="24" t="str">
        <f t="shared" si="9"/>
        <v>Order</v>
      </c>
      <c r="H31" s="26"/>
      <c r="I31" s="26" t="s">
        <v>14</v>
      </c>
      <c r="J31" s="24" t="str">
        <f t="shared" si="1"/>
        <v>Order</v>
      </c>
      <c r="K31" s="26"/>
      <c r="L31" s="26" t="s">
        <v>14</v>
      </c>
      <c r="M31" s="24" t="str">
        <f t="shared" si="2"/>
        <v>Order</v>
      </c>
      <c r="N31" s="26"/>
      <c r="O31" s="26" t="s">
        <v>14</v>
      </c>
      <c r="P31" s="24" t="str">
        <f t="shared" si="3"/>
        <v>Order</v>
      </c>
      <c r="Q31" s="25">
        <v>0.5</v>
      </c>
      <c r="S31" t="str">
        <f t="shared" si="10"/>
        <v/>
      </c>
      <c r="T31" t="str">
        <f t="shared" si="11"/>
        <v>Sauce Plate (BX04)</v>
      </c>
      <c r="U31" t="str">
        <f t="shared" si="12"/>
        <v>Sauce Plate (BX04)</v>
      </c>
      <c r="V31" t="str">
        <f t="shared" si="13"/>
        <v>Sauce Plate (BX04)</v>
      </c>
      <c r="W31" t="str">
        <f t="shared" si="14"/>
        <v>Sauce Plate (BX04)</v>
      </c>
    </row>
    <row r="32" spans="1:23" ht="24.75" customHeight="1">
      <c r="A32" s="19" t="s">
        <v>92</v>
      </c>
      <c r="B32" s="20">
        <v>1.2</v>
      </c>
      <c r="C32" s="20" t="s">
        <v>14</v>
      </c>
      <c r="D32" s="16" t="str">
        <f t="shared" si="0"/>
        <v/>
      </c>
      <c r="E32" s="20"/>
      <c r="F32" s="20" t="s">
        <v>14</v>
      </c>
      <c r="G32" s="16" t="str">
        <f t="shared" si="9"/>
        <v>Order</v>
      </c>
      <c r="H32" s="20"/>
      <c r="I32" s="20" t="s">
        <v>14</v>
      </c>
      <c r="J32" s="16" t="str">
        <f t="shared" si="1"/>
        <v>Order</v>
      </c>
      <c r="K32" s="20"/>
      <c r="L32" s="20" t="s">
        <v>14</v>
      </c>
      <c r="M32" s="16" t="str">
        <f t="shared" si="2"/>
        <v>Order</v>
      </c>
      <c r="N32" s="20"/>
      <c r="O32" s="20" t="s">
        <v>14</v>
      </c>
      <c r="P32" s="16" t="str">
        <f t="shared" si="3"/>
        <v>Order</v>
      </c>
      <c r="Q32" s="21">
        <v>0.5</v>
      </c>
      <c r="S32" t="str">
        <f t="shared" si="10"/>
        <v/>
      </c>
      <c r="T32" t="str">
        <f t="shared" si="11"/>
        <v>Sauce Container Takeaway (BX245)</v>
      </c>
      <c r="U32" t="str">
        <f t="shared" si="12"/>
        <v>Sauce Container Takeaway (BX245)</v>
      </c>
      <c r="V32" t="str">
        <f t="shared" si="13"/>
        <v>Sauce Container Takeaway (BX245)</v>
      </c>
      <c r="W32" t="str">
        <f t="shared" si="14"/>
        <v>Sauce Container Takeaway (BX245)</v>
      </c>
    </row>
    <row r="33" spans="1:23" ht="24.75" customHeight="1">
      <c r="A33" s="22" t="s">
        <v>93</v>
      </c>
      <c r="B33" s="26">
        <v>1</v>
      </c>
      <c r="C33" s="26" t="s">
        <v>94</v>
      </c>
      <c r="D33" s="24" t="str">
        <f t="shared" si="0"/>
        <v>Order</v>
      </c>
      <c r="E33" s="26"/>
      <c r="F33" s="26" t="s">
        <v>94</v>
      </c>
      <c r="G33" s="24" t="str">
        <f t="shared" si="9"/>
        <v>Order</v>
      </c>
      <c r="H33" s="26"/>
      <c r="I33" s="26" t="s">
        <v>94</v>
      </c>
      <c r="J33" s="24" t="str">
        <f t="shared" si="1"/>
        <v>Order</v>
      </c>
      <c r="K33" s="26"/>
      <c r="L33" s="26" t="s">
        <v>94</v>
      </c>
      <c r="M33" s="24" t="str">
        <f t="shared" si="2"/>
        <v>Order</v>
      </c>
      <c r="N33" s="26"/>
      <c r="O33" s="26" t="s">
        <v>94</v>
      </c>
      <c r="P33" s="24" t="str">
        <f t="shared" si="3"/>
        <v>Order</v>
      </c>
      <c r="Q33" s="25">
        <v>1</v>
      </c>
      <c r="S33" t="str">
        <f t="shared" si="10"/>
        <v>Herbal Bag 23x30cm (Earl Grey Fliter)</v>
      </c>
      <c r="T33" t="str">
        <f t="shared" si="11"/>
        <v>Herbal Bag 23x30cm (Earl Grey Fliter)</v>
      </c>
      <c r="U33" t="str">
        <f t="shared" si="12"/>
        <v>Herbal Bag 23x30cm (Earl Grey Fliter)</v>
      </c>
      <c r="V33" t="str">
        <f t="shared" si="13"/>
        <v>Herbal Bag 23x30cm (Earl Grey Fliter)</v>
      </c>
      <c r="W33" t="str">
        <f t="shared" si="14"/>
        <v>Herbal Bag 23x30cm (Earl Grey Fliter)</v>
      </c>
    </row>
    <row r="34" spans="1:23" ht="24.75" customHeight="1">
      <c r="A34" s="19" t="s">
        <v>95</v>
      </c>
      <c r="B34" s="20">
        <v>6</v>
      </c>
      <c r="C34" s="20" t="s">
        <v>94</v>
      </c>
      <c r="D34" s="16" t="str">
        <f t="shared" si="0"/>
        <v/>
      </c>
      <c r="E34" s="20"/>
      <c r="F34" s="20" t="s">
        <v>94</v>
      </c>
      <c r="G34" s="16" t="str">
        <f t="shared" si="9"/>
        <v>Order</v>
      </c>
      <c r="H34" s="20"/>
      <c r="I34" s="20" t="s">
        <v>94</v>
      </c>
      <c r="J34" s="16" t="str">
        <f t="shared" si="1"/>
        <v>Order</v>
      </c>
      <c r="K34" s="20"/>
      <c r="L34" s="20" t="s">
        <v>94</v>
      </c>
      <c r="M34" s="16" t="str">
        <f t="shared" si="2"/>
        <v>Order</v>
      </c>
      <c r="N34" s="20"/>
      <c r="O34" s="20" t="s">
        <v>94</v>
      </c>
      <c r="P34" s="16" t="str">
        <f t="shared" si="3"/>
        <v>Order</v>
      </c>
      <c r="Q34" s="21">
        <v>2</v>
      </c>
      <c r="S34" t="str">
        <f t="shared" si="10"/>
        <v/>
      </c>
      <c r="T34" t="str">
        <f t="shared" si="11"/>
        <v>AA Coffee Filter</v>
      </c>
      <c r="U34" t="str">
        <f t="shared" si="12"/>
        <v>AA Coffee Filter</v>
      </c>
      <c r="V34" t="str">
        <f t="shared" si="13"/>
        <v>AA Coffee Filter</v>
      </c>
      <c r="W34" t="str">
        <f t="shared" si="14"/>
        <v>AA Coffee Filter</v>
      </c>
    </row>
    <row r="35" spans="1:23" ht="24.75" customHeight="1">
      <c r="A35" s="22" t="s">
        <v>96</v>
      </c>
      <c r="B35" s="26">
        <v>1</v>
      </c>
      <c r="C35" s="26" t="s">
        <v>14</v>
      </c>
      <c r="D35" s="24" t="str">
        <f t="shared" si="0"/>
        <v>Order</v>
      </c>
      <c r="E35" s="26"/>
      <c r="F35" s="26" t="s">
        <v>14</v>
      </c>
      <c r="G35" s="24" t="str">
        <f t="shared" si="9"/>
        <v>Order</v>
      </c>
      <c r="H35" s="26"/>
      <c r="I35" s="26" t="s">
        <v>14</v>
      </c>
      <c r="J35" s="24" t="str">
        <f t="shared" si="1"/>
        <v>Order</v>
      </c>
      <c r="K35" s="26"/>
      <c r="L35" s="26" t="s">
        <v>14</v>
      </c>
      <c r="M35" s="24" t="str">
        <f t="shared" si="2"/>
        <v>Order</v>
      </c>
      <c r="N35" s="26"/>
      <c r="O35" s="26" t="s">
        <v>14</v>
      </c>
      <c r="P35" s="24" t="str">
        <f t="shared" si="3"/>
        <v>Order</v>
      </c>
      <c r="Q35" s="25">
        <v>1</v>
      </c>
      <c r="S35" t="str">
        <f t="shared" si="10"/>
        <v>Satay stick ( 14cm/ pack)</v>
      </c>
      <c r="T35" t="str">
        <f t="shared" si="11"/>
        <v>Satay stick ( 14cm/ pack)</v>
      </c>
      <c r="U35" t="str">
        <f t="shared" si="12"/>
        <v>Satay stick ( 14cm/ pack)</v>
      </c>
      <c r="V35" t="str">
        <f t="shared" si="13"/>
        <v>Satay stick ( 14cm/ pack)</v>
      </c>
      <c r="W35" t="str">
        <f t="shared" si="14"/>
        <v>Satay stick ( 14cm/ pack)</v>
      </c>
    </row>
    <row r="36" spans="1:23" ht="15.75" customHeight="1"/>
    <row r="37" spans="1:23" ht="15.75" customHeight="1"/>
    <row r="38" spans="1:23" ht="15.75" customHeight="1"/>
    <row r="39" spans="1:23" ht="15.75" customHeight="1"/>
    <row r="40" spans="1:23" ht="15.75" customHeight="1"/>
    <row r="41" spans="1:23" ht="15.75" hidden="1" customHeight="1">
      <c r="A41" t="e">
        <f ca="1">IF(B2="","",TEXTJOIN(" ,   ",TRUE,S4:S35))</f>
        <v>#NAME?</v>
      </c>
    </row>
    <row r="42" spans="1:23" ht="15.75" hidden="1" customHeight="1">
      <c r="A42" t="str">
        <f>IF(E2="","",TEXTJOIN(" ,   ",TRUE,T4:T35))</f>
        <v/>
      </c>
    </row>
    <row r="43" spans="1:23" ht="15.75" hidden="1" customHeight="1">
      <c r="A43" t="str">
        <f>IF(H2="","",TEXTJOIN(" ,   ",TRUE,U4:U35))</f>
        <v/>
      </c>
    </row>
    <row r="44" spans="1:23" ht="15.75" hidden="1" customHeight="1">
      <c r="A44" t="str">
        <f>IF(K2="","",TEXTJOIN(" ,   ",TRUE,V4:V35))</f>
        <v/>
      </c>
    </row>
    <row r="45" spans="1:23" ht="15.75" hidden="1" customHeight="1">
      <c r="A45" t="str">
        <f>IF(N2="","",TEXTJOIN(" ,   ",TRUE,W4:W35))</f>
        <v/>
      </c>
    </row>
    <row r="46" spans="1:23" ht="15.75" customHeight="1"/>
    <row r="47" spans="1:23" ht="15.75" customHeight="1"/>
    <row r="48" spans="1:2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1:17" ht="15.75" customHeight="1">
      <c r="K81" s="27"/>
      <c r="L81" s="28"/>
      <c r="M81" s="28"/>
      <c r="N81" s="28"/>
      <c r="O81" s="28"/>
      <c r="P81" s="29"/>
      <c r="Q81" s="29"/>
    </row>
    <row r="82" spans="11:17" ht="15.75" customHeight="1"/>
    <row r="83" spans="11:17" ht="15.75" customHeight="1"/>
    <row r="84" spans="11:17" ht="15.75" customHeight="1"/>
    <row r="85" spans="11:17" ht="15.75" customHeight="1"/>
    <row r="86" spans="11:17" ht="15.75" customHeight="1"/>
    <row r="87" spans="11:17" ht="15.75" customHeight="1"/>
    <row r="88" spans="11:17" ht="15.75" customHeight="1"/>
    <row r="89" spans="11:17" ht="15.75" customHeight="1"/>
    <row r="90" spans="11:17" ht="15.75" customHeight="1"/>
    <row r="91" spans="11:17" ht="15.75" customHeight="1"/>
    <row r="92" spans="11:17" ht="15.75" customHeight="1"/>
    <row r="93" spans="11:17" ht="15.75" customHeight="1"/>
    <row r="94" spans="11:17" ht="15.75" customHeight="1"/>
    <row r="95" spans="11:17" ht="15.75" customHeight="1"/>
    <row r="96" spans="11:17" ht="15.75" customHeight="1"/>
    <row r="97" ht="15.75" customHeight="1"/>
    <row r="98" ht="15.75" customHeight="1"/>
    <row r="99" ht="15.75" customHeight="1"/>
    <row r="100" ht="15.75" customHeight="1"/>
  </sheetData>
  <mergeCells count="11">
    <mergeCell ref="A1:M1"/>
    <mergeCell ref="K2:M2"/>
    <mergeCell ref="B3:C3"/>
    <mergeCell ref="N2:P2"/>
    <mergeCell ref="N3:O3"/>
    <mergeCell ref="H3:I3"/>
    <mergeCell ref="K3:L3"/>
    <mergeCell ref="E3:F3"/>
    <mergeCell ref="H2:J2"/>
    <mergeCell ref="B2:D2"/>
    <mergeCell ref="E2:G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"/>
  <sheetViews>
    <sheetView tabSelected="1" zoomScale="69" workbookViewId="0">
      <selection activeCell="K2" sqref="K2:M2"/>
    </sheetView>
  </sheetViews>
  <sheetFormatPr defaultColWidth="14.42578125" defaultRowHeight="15" customHeight="1"/>
  <cols>
    <col min="1" max="1" width="65.5703125" customWidth="1"/>
    <col min="2" max="2" width="7.85546875" customWidth="1"/>
    <col min="3" max="3" width="10" customWidth="1"/>
    <col min="4" max="4" width="10.42578125" customWidth="1"/>
    <col min="5" max="5" width="7.42578125" customWidth="1"/>
    <col min="6" max="6" width="9.85546875" customWidth="1"/>
    <col min="7" max="7" width="8.7109375" customWidth="1"/>
    <col min="8" max="8" width="6" customWidth="1"/>
    <col min="9" max="9" width="10" customWidth="1"/>
    <col min="10" max="10" width="12.42578125" customWidth="1"/>
    <col min="11" max="11" width="9" customWidth="1"/>
    <col min="12" max="12" width="10" customWidth="1"/>
    <col min="13" max="13" width="14.7109375" customWidth="1"/>
    <col min="14" max="14" width="9" customWidth="1"/>
    <col min="15" max="15" width="10" customWidth="1"/>
    <col min="16" max="16" width="11.42578125" customWidth="1"/>
    <col min="17" max="17" width="5.42578125" customWidth="1"/>
    <col min="18" max="19" width="9" customWidth="1"/>
    <col min="20" max="24" width="9" hidden="1" customWidth="1"/>
  </cols>
  <sheetData>
    <row r="1" spans="1:24" ht="21">
      <c r="A1" s="69" t="s">
        <v>61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24" ht="67.5">
      <c r="A2" s="14" t="s">
        <v>9</v>
      </c>
      <c r="B2" s="67">
        <f>IF('Untensil PG1'!B2="","",'Untensil PG1'!B2)</f>
        <v>46213</v>
      </c>
      <c r="C2" s="60"/>
      <c r="D2" s="57"/>
      <c r="E2" s="67" t="str">
        <f>IF('Untensil PG1'!E2="","",'Untensil PG1'!E2)</f>
        <v/>
      </c>
      <c r="F2" s="60"/>
      <c r="G2" s="57"/>
      <c r="H2" s="67" t="str">
        <f>IF('Untensil PG1'!H2="","",'Untensil PG1'!H2)</f>
        <v/>
      </c>
      <c r="I2" s="60"/>
      <c r="J2" s="57"/>
      <c r="K2" s="67" t="str">
        <f>IF('Untensil PG1'!K2="","",'Untensil PG1'!K2)</f>
        <v/>
      </c>
      <c r="L2" s="60"/>
      <c r="M2" s="57"/>
      <c r="N2" s="67" t="str">
        <f>IF('Untensil PG1'!N2="","",'Untensil PG1'!N2)</f>
        <v/>
      </c>
      <c r="O2" s="60"/>
      <c r="P2" s="57"/>
      <c r="Q2" s="15" t="s">
        <v>62</v>
      </c>
    </row>
    <row r="3" spans="1:24" ht="21">
      <c r="A3" s="16"/>
      <c r="B3" s="68" t="s">
        <v>97</v>
      </c>
      <c r="C3" s="57"/>
      <c r="D3" s="17" t="s">
        <v>11</v>
      </c>
      <c r="E3" s="68" t="s">
        <v>97</v>
      </c>
      <c r="F3" s="57"/>
      <c r="G3" s="17" t="s">
        <v>11</v>
      </c>
      <c r="H3" s="68" t="s">
        <v>97</v>
      </c>
      <c r="I3" s="57"/>
      <c r="J3" s="17" t="s">
        <v>11</v>
      </c>
      <c r="K3" s="68" t="s">
        <v>97</v>
      </c>
      <c r="L3" s="57"/>
      <c r="M3" s="17" t="s">
        <v>11</v>
      </c>
      <c r="N3" s="68" t="s">
        <v>97</v>
      </c>
      <c r="O3" s="57"/>
      <c r="P3" s="17" t="s">
        <v>11</v>
      </c>
      <c r="Q3" s="30"/>
      <c r="T3" t="str">
        <f t="shared" ref="T3:T9" si="0">IF(D4="Order",A4,"")</f>
        <v/>
      </c>
      <c r="U3" t="str">
        <f t="shared" ref="U3:U9" si="1">IF(G4="Order",A4,"")</f>
        <v>Satay stick with SPB logo</v>
      </c>
      <c r="V3" t="str">
        <f t="shared" ref="V3:V9" si="2">IF(J4="Order",A4,"")</f>
        <v>Satay stick with SPB logo</v>
      </c>
      <c r="W3" t="str">
        <f t="shared" ref="W3:W9" si="3">IF(M4="Order",A4,"")</f>
        <v>Satay stick with SPB logo</v>
      </c>
      <c r="X3" t="str">
        <f t="shared" ref="X3:X9" si="4">IF(P4="Order",A4,"")</f>
        <v>Satay stick with SPB logo</v>
      </c>
    </row>
    <row r="4" spans="1:24" ht="24.75" customHeight="1">
      <c r="A4" s="22" t="s">
        <v>98</v>
      </c>
      <c r="B4" s="26">
        <v>74</v>
      </c>
      <c r="C4" s="26" t="s">
        <v>14</v>
      </c>
      <c r="D4" s="24" t="str">
        <f t="shared" ref="D4:D8" si="5">IF(B4&lt;=$Q4,"Order","")</f>
        <v/>
      </c>
      <c r="E4" s="26"/>
      <c r="F4" s="26" t="s">
        <v>14</v>
      </c>
      <c r="G4" s="24" t="str">
        <f t="shared" ref="G4:G8" si="6">IF(E4&lt;=$Q4,"Order","")</f>
        <v>Order</v>
      </c>
      <c r="H4" s="26"/>
      <c r="I4" s="26" t="s">
        <v>14</v>
      </c>
      <c r="J4" s="24" t="str">
        <f t="shared" ref="J4:J8" si="7">IF(H4&lt;=$Q4,"Order","")</f>
        <v>Order</v>
      </c>
      <c r="K4" s="26"/>
      <c r="L4" s="26" t="s">
        <v>14</v>
      </c>
      <c r="M4" s="24" t="str">
        <f t="shared" ref="M4:M8" si="8">IF(K4&lt;=$Q4,"Order","")</f>
        <v>Order</v>
      </c>
      <c r="N4" s="26"/>
      <c r="O4" s="26" t="s">
        <v>14</v>
      </c>
      <c r="P4" s="24" t="str">
        <f t="shared" ref="P4:P8" si="9">IF(N4&lt;=$Q4,"Order","")</f>
        <v>Order</v>
      </c>
      <c r="Q4" s="31">
        <v>10</v>
      </c>
      <c r="T4" t="str">
        <f t="shared" si="0"/>
        <v>Packing Paper with logo (Yellow)</v>
      </c>
      <c r="U4" t="str">
        <f t="shared" si="1"/>
        <v>Packing Paper with logo (Yellow)</v>
      </c>
      <c r="V4" t="str">
        <f t="shared" si="2"/>
        <v>Packing Paper with logo (Yellow)</v>
      </c>
      <c r="W4" t="str">
        <f t="shared" si="3"/>
        <v>Packing Paper with logo (Yellow)</v>
      </c>
      <c r="X4" t="str">
        <f t="shared" si="4"/>
        <v>Packing Paper with logo (Yellow)</v>
      </c>
    </row>
    <row r="5" spans="1:24" ht="24.75" customHeight="1">
      <c r="A5" s="19" t="s">
        <v>99</v>
      </c>
      <c r="B5" s="20">
        <v>2</v>
      </c>
      <c r="C5" s="20" t="s">
        <v>14</v>
      </c>
      <c r="D5" s="16" t="str">
        <f t="shared" si="5"/>
        <v>Order</v>
      </c>
      <c r="E5" s="20"/>
      <c r="F5" s="20" t="s">
        <v>14</v>
      </c>
      <c r="G5" s="16" t="str">
        <f t="shared" si="6"/>
        <v>Order</v>
      </c>
      <c r="H5" s="20"/>
      <c r="I5" s="20" t="s">
        <v>14</v>
      </c>
      <c r="J5" s="16" t="str">
        <f t="shared" si="7"/>
        <v>Order</v>
      </c>
      <c r="K5" s="20"/>
      <c r="L5" s="20" t="s">
        <v>14</v>
      </c>
      <c r="M5" s="16" t="str">
        <f t="shared" si="8"/>
        <v>Order</v>
      </c>
      <c r="N5" s="20"/>
      <c r="O5" s="20" t="s">
        <v>14</v>
      </c>
      <c r="P5" s="16" t="str">
        <f t="shared" si="9"/>
        <v>Order</v>
      </c>
      <c r="Q5" s="32">
        <v>7</v>
      </c>
      <c r="T5" t="str">
        <f t="shared" si="0"/>
        <v/>
      </c>
      <c r="U5" t="str">
        <f t="shared" si="1"/>
        <v>Paper cup holder with SPB logo</v>
      </c>
      <c r="V5" t="str">
        <f t="shared" si="2"/>
        <v>Paper cup holder with SPB logo</v>
      </c>
      <c r="W5" t="str">
        <f t="shared" si="3"/>
        <v>Paper cup holder with SPB logo</v>
      </c>
      <c r="X5" t="str">
        <f t="shared" si="4"/>
        <v>Paper cup holder with SPB logo</v>
      </c>
    </row>
    <row r="6" spans="1:24" ht="24.75" customHeight="1">
      <c r="A6" s="22" t="s">
        <v>100</v>
      </c>
      <c r="B6" s="26">
        <v>15</v>
      </c>
      <c r="C6" s="33" t="s">
        <v>101</v>
      </c>
      <c r="D6" s="24" t="str">
        <f t="shared" si="5"/>
        <v/>
      </c>
      <c r="E6" s="26"/>
      <c r="F6" s="33" t="s">
        <v>101</v>
      </c>
      <c r="G6" s="24" t="str">
        <f t="shared" si="6"/>
        <v>Order</v>
      </c>
      <c r="H6" s="26"/>
      <c r="I6" s="33" t="s">
        <v>101</v>
      </c>
      <c r="J6" s="24" t="str">
        <f t="shared" si="7"/>
        <v>Order</v>
      </c>
      <c r="K6" s="26"/>
      <c r="L6" s="33" t="s">
        <v>101</v>
      </c>
      <c r="M6" s="24" t="str">
        <f t="shared" si="8"/>
        <v>Order</v>
      </c>
      <c r="N6" s="26"/>
      <c r="O6" s="33" t="s">
        <v>101</v>
      </c>
      <c r="P6" s="24" t="str">
        <f t="shared" si="9"/>
        <v>Order</v>
      </c>
      <c r="Q6" s="31">
        <v>5</v>
      </c>
      <c r="T6" t="str">
        <f t="shared" si="0"/>
        <v>Food Expiring Sticker Label (roll)</v>
      </c>
      <c r="U6" t="str">
        <f t="shared" si="1"/>
        <v>Food Expiring Sticker Label (roll)</v>
      </c>
      <c r="V6" t="str">
        <f t="shared" si="2"/>
        <v>Food Expiring Sticker Label (roll)</v>
      </c>
      <c r="W6" t="str">
        <f t="shared" si="3"/>
        <v>Food Expiring Sticker Label (roll)</v>
      </c>
      <c r="X6" t="str">
        <f t="shared" si="4"/>
        <v>Food Expiring Sticker Label (roll)</v>
      </c>
    </row>
    <row r="7" spans="1:24" ht="24.75" customHeight="1">
      <c r="A7" s="19" t="s">
        <v>102</v>
      </c>
      <c r="B7" s="20">
        <v>1.5</v>
      </c>
      <c r="C7" s="20" t="s">
        <v>103</v>
      </c>
      <c r="D7" s="16" t="str">
        <f t="shared" si="5"/>
        <v>Order</v>
      </c>
      <c r="E7" s="20"/>
      <c r="F7" s="20" t="s">
        <v>103</v>
      </c>
      <c r="G7" s="16" t="str">
        <f t="shared" si="6"/>
        <v>Order</v>
      </c>
      <c r="H7" s="20"/>
      <c r="I7" s="20" t="s">
        <v>103</v>
      </c>
      <c r="J7" s="16" t="str">
        <f t="shared" si="7"/>
        <v>Order</v>
      </c>
      <c r="K7" s="20"/>
      <c r="L7" s="20" t="s">
        <v>103</v>
      </c>
      <c r="M7" s="16" t="str">
        <f t="shared" si="8"/>
        <v>Order</v>
      </c>
      <c r="N7" s="20"/>
      <c r="O7" s="20" t="s">
        <v>103</v>
      </c>
      <c r="P7" s="16" t="str">
        <f t="shared" si="9"/>
        <v>Order</v>
      </c>
      <c r="Q7" s="32">
        <v>3</v>
      </c>
      <c r="T7" t="str">
        <f t="shared" si="0"/>
        <v/>
      </c>
      <c r="U7" t="str">
        <f t="shared" si="1"/>
        <v>Logo Solotape</v>
      </c>
      <c r="V7" t="str">
        <f t="shared" si="2"/>
        <v>Logo Solotape</v>
      </c>
      <c r="W7" t="str">
        <f t="shared" si="3"/>
        <v>Logo Solotape</v>
      </c>
      <c r="X7" t="str">
        <f t="shared" si="4"/>
        <v>Logo Solotape</v>
      </c>
    </row>
    <row r="8" spans="1:24" ht="21">
      <c r="A8" s="34" t="s">
        <v>104</v>
      </c>
      <c r="B8" s="24">
        <v>27</v>
      </c>
      <c r="C8" s="26" t="s">
        <v>103</v>
      </c>
      <c r="D8" s="24" t="str">
        <f t="shared" si="5"/>
        <v/>
      </c>
      <c r="E8" s="24"/>
      <c r="F8" s="26" t="s">
        <v>103</v>
      </c>
      <c r="G8" s="24" t="str">
        <f t="shared" si="6"/>
        <v>Order</v>
      </c>
      <c r="H8" s="24"/>
      <c r="I8" s="26" t="s">
        <v>103</v>
      </c>
      <c r="J8" s="24" t="str">
        <f t="shared" si="7"/>
        <v>Order</v>
      </c>
      <c r="K8" s="24"/>
      <c r="L8" s="26" t="s">
        <v>103</v>
      </c>
      <c r="M8" s="24" t="str">
        <f t="shared" si="8"/>
        <v>Order</v>
      </c>
      <c r="N8" s="24"/>
      <c r="O8" s="26" t="s">
        <v>103</v>
      </c>
      <c r="P8" s="24" t="str">
        <f t="shared" si="9"/>
        <v>Order</v>
      </c>
      <c r="Q8" s="31">
        <v>15</v>
      </c>
      <c r="T8" t="str">
        <f t="shared" si="0"/>
        <v/>
      </c>
      <c r="U8" t="str">
        <f t="shared" si="1"/>
        <v/>
      </c>
      <c r="V8" t="str">
        <f t="shared" si="2"/>
        <v/>
      </c>
      <c r="W8" t="str">
        <f t="shared" si="3"/>
        <v/>
      </c>
      <c r="X8" t="str">
        <f t="shared" si="4"/>
        <v/>
      </c>
    </row>
    <row r="9" spans="1:24" ht="24.75" customHeight="1">
      <c r="A9" s="19" t="s">
        <v>105</v>
      </c>
      <c r="B9" s="20">
        <v>17</v>
      </c>
      <c r="C9" s="20" t="s">
        <v>94</v>
      </c>
      <c r="D9" s="16" t="str">
        <f>IF(B9&lt;=0,"No More Use","")</f>
        <v/>
      </c>
      <c r="E9" s="20"/>
      <c r="F9" s="20" t="s">
        <v>94</v>
      </c>
      <c r="G9" s="16" t="str">
        <f>IF(E9&lt;=0,"No More Use","")</f>
        <v>No More Use</v>
      </c>
      <c r="H9" s="20"/>
      <c r="I9" s="20" t="s">
        <v>94</v>
      </c>
      <c r="J9" s="16" t="str">
        <f>IF(H9&lt;=0,"No More Use","")</f>
        <v>No More Use</v>
      </c>
      <c r="K9" s="20"/>
      <c r="L9" s="20" t="s">
        <v>94</v>
      </c>
      <c r="M9" s="16" t="str">
        <f>IF(K9&lt;=0,"No More Use","")</f>
        <v>No More Use</v>
      </c>
      <c r="N9" s="20"/>
      <c r="O9" s="20" t="s">
        <v>94</v>
      </c>
      <c r="P9" s="16" t="str">
        <f>IF(N9&lt;=0,"No More Use","")</f>
        <v>No More Use</v>
      </c>
      <c r="Q9" s="32"/>
      <c r="T9" t="str">
        <f t="shared" si="0"/>
        <v>Label Sticker Roll 30mm x 40mm（Local）</v>
      </c>
      <c r="U9" t="str">
        <f t="shared" si="1"/>
        <v>Label Sticker Roll 30mm x 40mm（Local）</v>
      </c>
      <c r="V9" t="str">
        <f t="shared" si="2"/>
        <v>Label Sticker Roll 30mm x 40mm（Local）</v>
      </c>
      <c r="W9" t="str">
        <f t="shared" si="3"/>
        <v>Label Sticker Roll 30mm x 40mm（Local）</v>
      </c>
      <c r="X9" t="str">
        <f t="shared" si="4"/>
        <v>Label Sticker Roll 30mm x 40mm（Local）</v>
      </c>
    </row>
    <row r="10" spans="1:24" ht="24.75" customHeight="1">
      <c r="A10" s="22" t="s">
        <v>106</v>
      </c>
      <c r="B10" s="26">
        <v>0</v>
      </c>
      <c r="C10" s="26" t="s">
        <v>103</v>
      </c>
      <c r="D10" s="24" t="str">
        <f t="shared" ref="D10:D35" si="10">IF(B10&lt;=$Q10,"Order","")</f>
        <v>Order</v>
      </c>
      <c r="E10" s="26"/>
      <c r="F10" s="26" t="s">
        <v>103</v>
      </c>
      <c r="G10" s="24" t="str">
        <f t="shared" ref="G10:G35" si="11">IF(E10&lt;=$Q10,"Order","")</f>
        <v>Order</v>
      </c>
      <c r="H10" s="26"/>
      <c r="I10" s="26" t="s">
        <v>103</v>
      </c>
      <c r="J10" s="24" t="str">
        <f t="shared" ref="J10:J35" si="12">IF(H10&lt;=$Q10,"Order","")</f>
        <v>Order</v>
      </c>
      <c r="K10" s="26"/>
      <c r="L10" s="26" t="s">
        <v>103</v>
      </c>
      <c r="M10" s="24" t="str">
        <f t="shared" ref="M10:M35" si="13">IF(K10&lt;=$Q10,"Order","")</f>
        <v>Order</v>
      </c>
      <c r="N10" s="26"/>
      <c r="O10" s="26" t="s">
        <v>103</v>
      </c>
      <c r="P10" s="24" t="str">
        <f t="shared" ref="P10:P35" si="14">IF(N10&lt;=$Q10,"Order","")</f>
        <v>Order</v>
      </c>
      <c r="Q10" s="31">
        <v>10</v>
      </c>
      <c r="T10" t="str">
        <f t="shared" ref="T10:T11" si="15">IF(D12="Order",A12,"")</f>
        <v>Delivery Thank You Note</v>
      </c>
      <c r="U10" t="str">
        <f t="shared" ref="U10:U11" si="16">IF(G12="Order",A12,"")</f>
        <v>Delivery Thank You Note</v>
      </c>
      <c r="V10" t="str">
        <f t="shared" ref="V10:V11" si="17">IF(J12="Order",A12,"")</f>
        <v>Delivery Thank You Note</v>
      </c>
      <c r="W10" t="str">
        <f t="shared" ref="W10:W11" si="18">IF(M12="Order",A12,"")</f>
        <v>Delivery Thank You Note</v>
      </c>
      <c r="X10" t="str">
        <f t="shared" ref="X10:X11" si="19">IF(P12="Order",A12,"")</f>
        <v>Delivery Thank You Note</v>
      </c>
    </row>
    <row r="11" spans="1:24" ht="24.75" customHeight="1">
      <c r="A11" s="19" t="s">
        <v>107</v>
      </c>
      <c r="B11" s="20">
        <v>13</v>
      </c>
      <c r="C11" s="20" t="s">
        <v>103</v>
      </c>
      <c r="D11" s="16" t="str">
        <f t="shared" si="10"/>
        <v/>
      </c>
      <c r="E11" s="20"/>
      <c r="F11" s="20" t="s">
        <v>103</v>
      </c>
      <c r="G11" s="16" t="str">
        <f t="shared" si="11"/>
        <v>Order</v>
      </c>
      <c r="H11" s="20"/>
      <c r="I11" s="20" t="s">
        <v>103</v>
      </c>
      <c r="J11" s="16" t="str">
        <f t="shared" si="12"/>
        <v>Order</v>
      </c>
      <c r="K11" s="20"/>
      <c r="L11" s="20" t="s">
        <v>103</v>
      </c>
      <c r="M11" s="16" t="str">
        <f t="shared" si="13"/>
        <v>Order</v>
      </c>
      <c r="N11" s="20"/>
      <c r="O11" s="20" t="s">
        <v>103</v>
      </c>
      <c r="P11" s="16" t="str">
        <f t="shared" si="14"/>
        <v>Order</v>
      </c>
      <c r="Q11" s="32">
        <v>10</v>
      </c>
      <c r="T11" t="str">
        <f t="shared" si="15"/>
        <v/>
      </c>
      <c r="U11" t="str">
        <f t="shared" si="16"/>
        <v>Delivery Location Note</v>
      </c>
      <c r="V11" t="str">
        <f t="shared" si="17"/>
        <v>Delivery Location Note</v>
      </c>
      <c r="W11" t="str">
        <f t="shared" si="18"/>
        <v>Delivery Location Note</v>
      </c>
      <c r="X11" t="str">
        <f t="shared" si="19"/>
        <v>Delivery Location Note</v>
      </c>
    </row>
    <row r="12" spans="1:24" ht="24.75" customHeight="1">
      <c r="A12" s="22" t="s">
        <v>108</v>
      </c>
      <c r="B12" s="26">
        <v>5</v>
      </c>
      <c r="C12" s="26" t="s">
        <v>101</v>
      </c>
      <c r="D12" s="24" t="str">
        <f t="shared" si="10"/>
        <v>Order</v>
      </c>
      <c r="E12" s="26"/>
      <c r="F12" s="26" t="s">
        <v>101</v>
      </c>
      <c r="G12" s="24" t="str">
        <f t="shared" si="11"/>
        <v>Order</v>
      </c>
      <c r="H12" s="26"/>
      <c r="I12" s="26" t="s">
        <v>101</v>
      </c>
      <c r="J12" s="24" t="str">
        <f t="shared" si="12"/>
        <v>Order</v>
      </c>
      <c r="K12" s="26"/>
      <c r="L12" s="26" t="s">
        <v>101</v>
      </c>
      <c r="M12" s="24" t="str">
        <f t="shared" si="13"/>
        <v>Order</v>
      </c>
      <c r="N12" s="26"/>
      <c r="O12" s="26" t="s">
        <v>101</v>
      </c>
      <c r="P12" s="24" t="str">
        <f t="shared" si="14"/>
        <v>Order</v>
      </c>
      <c r="Q12" s="31">
        <v>5</v>
      </c>
      <c r="T12" t="str">
        <f t="shared" ref="T12:T38" si="20">IF(D13="Order",A13,"")</f>
        <v/>
      </c>
      <c r="U12" t="str">
        <f t="shared" ref="U12:U38" si="21">IF(G13="Order",A13,"")</f>
        <v>Delivery Location Note</v>
      </c>
      <c r="V12" t="str">
        <f t="shared" ref="V12:V37" si="22">IF(J13="Order",A13,"")</f>
        <v>Delivery Location Note</v>
      </c>
      <c r="W12" t="str">
        <f t="shared" ref="W12:W37" si="23">IF(M13="Order",A13,"")</f>
        <v>Delivery Location Note</v>
      </c>
      <c r="X12" t="str">
        <f t="shared" ref="X12:X37" si="24">IF(P13="Order",A13,"")</f>
        <v>Delivery Location Note</v>
      </c>
    </row>
    <row r="13" spans="1:24" ht="24.75" customHeight="1">
      <c r="A13" s="19" t="s">
        <v>109</v>
      </c>
      <c r="B13" s="20">
        <v>3</v>
      </c>
      <c r="C13" s="20" t="s">
        <v>101</v>
      </c>
      <c r="D13" s="16" t="str">
        <f t="shared" si="10"/>
        <v/>
      </c>
      <c r="E13" s="20"/>
      <c r="F13" s="20" t="s">
        <v>101</v>
      </c>
      <c r="G13" s="16" t="str">
        <f t="shared" si="11"/>
        <v>Order</v>
      </c>
      <c r="H13" s="20"/>
      <c r="I13" s="20" t="s">
        <v>101</v>
      </c>
      <c r="J13" s="16" t="str">
        <f t="shared" si="12"/>
        <v>Order</v>
      </c>
      <c r="K13" s="20"/>
      <c r="L13" s="20" t="s">
        <v>101</v>
      </c>
      <c r="M13" s="16" t="str">
        <f t="shared" si="13"/>
        <v>Order</v>
      </c>
      <c r="N13" s="20"/>
      <c r="O13" s="20" t="s">
        <v>101</v>
      </c>
      <c r="P13" s="16" t="str">
        <f t="shared" si="14"/>
        <v>Order</v>
      </c>
      <c r="Q13" s="32">
        <v>1</v>
      </c>
      <c r="T13" t="str">
        <f t="shared" si="20"/>
        <v/>
      </c>
      <c r="U13" t="str">
        <f t="shared" si="21"/>
        <v>Mop Detergent (BIO PINE / Apple Floor)</v>
      </c>
      <c r="V13" t="str">
        <f t="shared" si="22"/>
        <v>Mop Detergent (BIO PINE / Apple Floor)</v>
      </c>
      <c r="W13" t="str">
        <f t="shared" si="23"/>
        <v>Mop Detergent (BIO PINE / Apple Floor)</v>
      </c>
      <c r="X13" t="str">
        <f t="shared" si="24"/>
        <v>Mop Detergent (BIO PINE / Apple Floor)</v>
      </c>
    </row>
    <row r="14" spans="1:24" ht="24.75" customHeight="1">
      <c r="A14" s="22" t="s">
        <v>110</v>
      </c>
      <c r="B14" s="26">
        <v>1.6</v>
      </c>
      <c r="C14" s="26" t="s">
        <v>19</v>
      </c>
      <c r="D14" s="24" t="str">
        <f t="shared" si="10"/>
        <v/>
      </c>
      <c r="E14" s="26"/>
      <c r="F14" s="26" t="s">
        <v>19</v>
      </c>
      <c r="G14" s="24" t="str">
        <f t="shared" si="11"/>
        <v>Order</v>
      </c>
      <c r="H14" s="26"/>
      <c r="I14" s="26" t="s">
        <v>19</v>
      </c>
      <c r="J14" s="24" t="str">
        <f t="shared" si="12"/>
        <v>Order</v>
      </c>
      <c r="K14" s="26"/>
      <c r="L14" s="26" t="s">
        <v>19</v>
      </c>
      <c r="M14" s="24" t="str">
        <f t="shared" si="13"/>
        <v>Order</v>
      </c>
      <c r="N14" s="26"/>
      <c r="O14" s="26" t="s">
        <v>19</v>
      </c>
      <c r="P14" s="24" t="str">
        <f t="shared" si="14"/>
        <v>Order</v>
      </c>
      <c r="Q14" s="31">
        <v>1</v>
      </c>
      <c r="T14" t="str">
        <f t="shared" si="20"/>
        <v/>
      </c>
      <c r="U14" t="str">
        <f t="shared" si="21"/>
        <v>Washing Detergent (Extra Power Full 10 LITER)</v>
      </c>
      <c r="V14" t="str">
        <f t="shared" si="22"/>
        <v>Washing Detergent (Extra Power Full 10 LITER)</v>
      </c>
      <c r="W14" t="str">
        <f t="shared" si="23"/>
        <v>Washing Detergent (Extra Power Full 10 LITER)</v>
      </c>
      <c r="X14" t="str">
        <f t="shared" si="24"/>
        <v>Washing Detergent (Extra Power Full 10 LITER)</v>
      </c>
    </row>
    <row r="15" spans="1:24" ht="24.75" customHeight="1">
      <c r="A15" s="19" t="s">
        <v>111</v>
      </c>
      <c r="B15" s="20">
        <v>1.3</v>
      </c>
      <c r="C15" s="20" t="s">
        <v>19</v>
      </c>
      <c r="D15" s="16" t="str">
        <f t="shared" si="10"/>
        <v/>
      </c>
      <c r="E15" s="20"/>
      <c r="F15" s="20" t="s">
        <v>19</v>
      </c>
      <c r="G15" s="16" t="str">
        <f t="shared" si="11"/>
        <v>Order</v>
      </c>
      <c r="H15" s="20"/>
      <c r="I15" s="20" t="s">
        <v>19</v>
      </c>
      <c r="J15" s="16" t="str">
        <f t="shared" si="12"/>
        <v>Order</v>
      </c>
      <c r="K15" s="20"/>
      <c r="L15" s="20" t="s">
        <v>19</v>
      </c>
      <c r="M15" s="16" t="str">
        <f t="shared" si="13"/>
        <v>Order</v>
      </c>
      <c r="N15" s="20"/>
      <c r="O15" s="20" t="s">
        <v>19</v>
      </c>
      <c r="P15" s="16" t="str">
        <f t="shared" si="14"/>
        <v>Order</v>
      </c>
      <c r="Q15" s="32">
        <v>1</v>
      </c>
      <c r="T15" t="str">
        <f t="shared" si="20"/>
        <v>Cloth Detergent (Top)</v>
      </c>
      <c r="U15" t="str">
        <f t="shared" si="21"/>
        <v>Cloth Detergent (Top)</v>
      </c>
      <c r="V15" t="str">
        <f t="shared" si="22"/>
        <v>Cloth Detergent (Top)</v>
      </c>
      <c r="W15" t="str">
        <f t="shared" si="23"/>
        <v>Cloth Detergent (Top)</v>
      </c>
      <c r="X15" t="str">
        <f t="shared" si="24"/>
        <v>Cloth Detergent (Top)</v>
      </c>
    </row>
    <row r="16" spans="1:24" ht="24.75" customHeight="1">
      <c r="A16" s="22" t="s">
        <v>112</v>
      </c>
      <c r="B16" s="26">
        <v>0.2</v>
      </c>
      <c r="C16" s="26" t="s">
        <v>14</v>
      </c>
      <c r="D16" s="24" t="str">
        <f t="shared" si="10"/>
        <v>Order</v>
      </c>
      <c r="E16" s="26"/>
      <c r="F16" s="26" t="s">
        <v>14</v>
      </c>
      <c r="G16" s="24" t="str">
        <f t="shared" si="11"/>
        <v>Order</v>
      </c>
      <c r="H16" s="26"/>
      <c r="I16" s="26" t="s">
        <v>14</v>
      </c>
      <c r="J16" s="24" t="str">
        <f t="shared" si="12"/>
        <v>Order</v>
      </c>
      <c r="K16" s="26"/>
      <c r="L16" s="26" t="s">
        <v>14</v>
      </c>
      <c r="M16" s="24" t="str">
        <f t="shared" si="13"/>
        <v>Order</v>
      </c>
      <c r="N16" s="26"/>
      <c r="O16" s="26" t="s">
        <v>14</v>
      </c>
      <c r="P16" s="24" t="str">
        <f t="shared" si="14"/>
        <v>Order</v>
      </c>
      <c r="Q16" s="31">
        <v>0.5</v>
      </c>
      <c r="T16" t="str">
        <f t="shared" si="20"/>
        <v/>
      </c>
      <c r="U16" t="str">
        <f t="shared" si="21"/>
        <v>Hand Detergent</v>
      </c>
      <c r="V16" t="str">
        <f t="shared" si="22"/>
        <v>Hand Detergent</v>
      </c>
      <c r="W16" t="str">
        <f t="shared" si="23"/>
        <v>Hand Detergent</v>
      </c>
      <c r="X16" t="str">
        <f t="shared" si="24"/>
        <v>Hand Detergent</v>
      </c>
    </row>
    <row r="17" spans="1:24" ht="24.75" customHeight="1">
      <c r="A17" s="19" t="s">
        <v>113</v>
      </c>
      <c r="B17" s="20">
        <v>3.7</v>
      </c>
      <c r="C17" s="20" t="s">
        <v>19</v>
      </c>
      <c r="D17" s="16" t="str">
        <f t="shared" si="10"/>
        <v/>
      </c>
      <c r="E17" s="20"/>
      <c r="F17" s="20" t="s">
        <v>19</v>
      </c>
      <c r="G17" s="16" t="str">
        <f t="shared" si="11"/>
        <v>Order</v>
      </c>
      <c r="H17" s="20"/>
      <c r="I17" s="20" t="s">
        <v>19</v>
      </c>
      <c r="J17" s="16" t="str">
        <f t="shared" si="12"/>
        <v>Order</v>
      </c>
      <c r="K17" s="20"/>
      <c r="L17" s="20" t="s">
        <v>19</v>
      </c>
      <c r="M17" s="16" t="str">
        <f t="shared" si="13"/>
        <v>Order</v>
      </c>
      <c r="N17" s="20"/>
      <c r="O17" s="20" t="s">
        <v>19</v>
      </c>
      <c r="P17" s="16" t="str">
        <f t="shared" si="14"/>
        <v>Order</v>
      </c>
      <c r="Q17" s="32">
        <v>1</v>
      </c>
      <c r="T17" t="str">
        <f t="shared" si="20"/>
        <v/>
      </c>
      <c r="U17" t="str">
        <f t="shared" si="21"/>
        <v>Harpic Toilet Cleaner</v>
      </c>
      <c r="V17" t="str">
        <f t="shared" si="22"/>
        <v>Harpic Toilet Cleaner</v>
      </c>
      <c r="W17" t="str">
        <f t="shared" si="23"/>
        <v>Harpic Toilet Cleaner</v>
      </c>
      <c r="X17" t="str">
        <f t="shared" si="24"/>
        <v>Harpic Toilet Cleaner</v>
      </c>
    </row>
    <row r="18" spans="1:24" ht="24.75" customHeight="1">
      <c r="A18" s="22" t="s">
        <v>114</v>
      </c>
      <c r="B18" s="26">
        <v>1.5</v>
      </c>
      <c r="C18" s="26" t="s">
        <v>19</v>
      </c>
      <c r="D18" s="24" t="str">
        <f t="shared" si="10"/>
        <v/>
      </c>
      <c r="E18" s="26"/>
      <c r="F18" s="26" t="s">
        <v>19</v>
      </c>
      <c r="G18" s="24" t="str">
        <f t="shared" si="11"/>
        <v>Order</v>
      </c>
      <c r="H18" s="26"/>
      <c r="I18" s="26" t="s">
        <v>19</v>
      </c>
      <c r="J18" s="24" t="str">
        <f t="shared" si="12"/>
        <v>Order</v>
      </c>
      <c r="K18" s="26"/>
      <c r="L18" s="26" t="s">
        <v>19</v>
      </c>
      <c r="M18" s="24" t="str">
        <f t="shared" si="13"/>
        <v>Order</v>
      </c>
      <c r="N18" s="26"/>
      <c r="O18" s="26" t="s">
        <v>19</v>
      </c>
      <c r="P18" s="24" t="str">
        <f t="shared" si="14"/>
        <v>Order</v>
      </c>
      <c r="Q18" s="31">
        <v>1</v>
      </c>
      <c r="T18" t="str">
        <f t="shared" si="20"/>
        <v>Degrease Foam Detergent</v>
      </c>
      <c r="U18" t="str">
        <f t="shared" si="21"/>
        <v>Degrease Foam Detergent</v>
      </c>
      <c r="V18" t="str">
        <f t="shared" si="22"/>
        <v>Degrease Foam Detergent</v>
      </c>
      <c r="W18" t="str">
        <f t="shared" si="23"/>
        <v>Degrease Foam Detergent</v>
      </c>
      <c r="X18" t="str">
        <f t="shared" si="24"/>
        <v>Degrease Foam Detergent</v>
      </c>
    </row>
    <row r="19" spans="1:24" ht="24.75" customHeight="1">
      <c r="A19" s="19" t="s">
        <v>115</v>
      </c>
      <c r="B19" s="35">
        <v>0.4</v>
      </c>
      <c r="C19" s="35" t="s">
        <v>19</v>
      </c>
      <c r="D19" s="16" t="str">
        <f t="shared" si="10"/>
        <v>Order</v>
      </c>
      <c r="E19" s="35"/>
      <c r="F19" s="35" t="s">
        <v>19</v>
      </c>
      <c r="G19" s="16" t="str">
        <f t="shared" si="11"/>
        <v>Order</v>
      </c>
      <c r="H19" s="35"/>
      <c r="I19" s="35" t="s">
        <v>19</v>
      </c>
      <c r="J19" s="16" t="str">
        <f t="shared" si="12"/>
        <v>Order</v>
      </c>
      <c r="K19" s="35"/>
      <c r="L19" s="35" t="s">
        <v>19</v>
      </c>
      <c r="M19" s="16" t="str">
        <f t="shared" si="13"/>
        <v>Order</v>
      </c>
      <c r="N19" s="35"/>
      <c r="O19" s="35" t="s">
        <v>19</v>
      </c>
      <c r="P19" s="16" t="str">
        <f t="shared" si="14"/>
        <v>Order</v>
      </c>
      <c r="Q19" s="32">
        <v>0.5</v>
      </c>
      <c r="T19" t="str">
        <f t="shared" si="20"/>
        <v/>
      </c>
      <c r="U19" t="str">
        <f t="shared" si="21"/>
        <v>Sponge (Yellow - pcs)</v>
      </c>
      <c r="V19" t="str">
        <f t="shared" si="22"/>
        <v>Sponge (Yellow - pcs)</v>
      </c>
      <c r="W19" t="str">
        <f t="shared" si="23"/>
        <v>Sponge (Yellow - pcs)</v>
      </c>
      <c r="X19" t="str">
        <f t="shared" si="24"/>
        <v>Sponge (Yellow - pcs)</v>
      </c>
    </row>
    <row r="20" spans="1:24" ht="24.75" customHeight="1">
      <c r="A20" s="22" t="s">
        <v>116</v>
      </c>
      <c r="B20" s="26">
        <v>5</v>
      </c>
      <c r="C20" s="26" t="s">
        <v>94</v>
      </c>
      <c r="D20" s="24" t="str">
        <f t="shared" si="10"/>
        <v/>
      </c>
      <c r="E20" s="26"/>
      <c r="F20" s="26" t="s">
        <v>94</v>
      </c>
      <c r="G20" s="24" t="str">
        <f t="shared" si="11"/>
        <v>Order</v>
      </c>
      <c r="H20" s="26"/>
      <c r="I20" s="26" t="s">
        <v>94</v>
      </c>
      <c r="J20" s="24" t="str">
        <f t="shared" si="12"/>
        <v>Order</v>
      </c>
      <c r="K20" s="26"/>
      <c r="L20" s="26" t="s">
        <v>94</v>
      </c>
      <c r="M20" s="24" t="str">
        <f t="shared" si="13"/>
        <v>Order</v>
      </c>
      <c r="N20" s="26"/>
      <c r="O20" s="26" t="s">
        <v>94</v>
      </c>
      <c r="P20" s="24" t="str">
        <f t="shared" si="14"/>
        <v>Order</v>
      </c>
      <c r="Q20" s="31">
        <v>1</v>
      </c>
      <c r="T20" t="str">
        <f t="shared" si="20"/>
        <v/>
      </c>
      <c r="U20" t="str">
        <f t="shared" si="21"/>
        <v>Scrub Pad (Green - pcs)</v>
      </c>
      <c r="V20" t="str">
        <f t="shared" si="22"/>
        <v>Scrub Pad (Green - pcs)</v>
      </c>
      <c r="W20" t="str">
        <f t="shared" si="23"/>
        <v>Scrub Pad (Green - pcs)</v>
      </c>
      <c r="X20" t="str">
        <f t="shared" si="24"/>
        <v>Scrub Pad (Green - pcs)</v>
      </c>
    </row>
    <row r="21" spans="1:24" ht="24.75" customHeight="1">
      <c r="A21" s="19" t="s">
        <v>117</v>
      </c>
      <c r="B21" s="20">
        <v>3</v>
      </c>
      <c r="C21" s="20" t="s">
        <v>94</v>
      </c>
      <c r="D21" s="16" t="str">
        <f t="shared" si="10"/>
        <v/>
      </c>
      <c r="E21" s="20"/>
      <c r="F21" s="20" t="s">
        <v>94</v>
      </c>
      <c r="G21" s="16" t="str">
        <f t="shared" si="11"/>
        <v>Order</v>
      </c>
      <c r="H21" s="20"/>
      <c r="I21" s="20" t="s">
        <v>94</v>
      </c>
      <c r="J21" s="16" t="str">
        <f t="shared" si="12"/>
        <v>Order</v>
      </c>
      <c r="K21" s="20"/>
      <c r="L21" s="20" t="s">
        <v>94</v>
      </c>
      <c r="M21" s="16" t="str">
        <f t="shared" si="13"/>
        <v>Order</v>
      </c>
      <c r="N21" s="20"/>
      <c r="O21" s="20" t="s">
        <v>94</v>
      </c>
      <c r="P21" s="16" t="str">
        <f t="shared" si="14"/>
        <v>Order</v>
      </c>
      <c r="Q21" s="32">
        <v>1</v>
      </c>
      <c r="T21" t="str">
        <f t="shared" si="20"/>
        <v>Tissue Roll (Toilet)</v>
      </c>
      <c r="U21" t="str">
        <f t="shared" si="21"/>
        <v>Tissue Roll (Toilet)</v>
      </c>
      <c r="V21" t="str">
        <f t="shared" si="22"/>
        <v>Tissue Roll (Toilet)</v>
      </c>
      <c r="W21" t="str">
        <f t="shared" si="23"/>
        <v>Tissue Roll (Toilet)</v>
      </c>
      <c r="X21" t="str">
        <f t="shared" si="24"/>
        <v>Tissue Roll (Toilet)</v>
      </c>
    </row>
    <row r="22" spans="1:24" ht="24.75" customHeight="1">
      <c r="A22" s="22" t="s">
        <v>118</v>
      </c>
      <c r="B22" s="26">
        <v>5</v>
      </c>
      <c r="C22" s="26" t="s">
        <v>103</v>
      </c>
      <c r="D22" s="24" t="str">
        <f t="shared" si="10"/>
        <v>Order</v>
      </c>
      <c r="E22" s="26"/>
      <c r="F22" s="26" t="s">
        <v>103</v>
      </c>
      <c r="G22" s="24" t="str">
        <f t="shared" si="11"/>
        <v>Order</v>
      </c>
      <c r="H22" s="26"/>
      <c r="I22" s="26" t="s">
        <v>103</v>
      </c>
      <c r="J22" s="24" t="str">
        <f t="shared" si="12"/>
        <v>Order</v>
      </c>
      <c r="K22" s="26"/>
      <c r="L22" s="26" t="s">
        <v>103</v>
      </c>
      <c r="M22" s="24" t="str">
        <f t="shared" si="13"/>
        <v>Order</v>
      </c>
      <c r="N22" s="26"/>
      <c r="O22" s="26" t="s">
        <v>103</v>
      </c>
      <c r="P22" s="24" t="str">
        <f t="shared" si="14"/>
        <v>Order</v>
      </c>
      <c r="Q22" s="31">
        <v>6</v>
      </c>
      <c r="T22" t="str">
        <f t="shared" si="20"/>
        <v>Kitchen Towel</v>
      </c>
      <c r="U22" t="str">
        <f t="shared" si="21"/>
        <v>Kitchen Towel</v>
      </c>
      <c r="V22" t="str">
        <f t="shared" si="22"/>
        <v>Kitchen Towel</v>
      </c>
      <c r="W22" t="str">
        <f t="shared" si="23"/>
        <v>Kitchen Towel</v>
      </c>
      <c r="X22" t="str">
        <f t="shared" si="24"/>
        <v>Kitchen Towel</v>
      </c>
    </row>
    <row r="23" spans="1:24" ht="24.75" customHeight="1">
      <c r="A23" s="19" t="s">
        <v>119</v>
      </c>
      <c r="B23" s="20">
        <v>3</v>
      </c>
      <c r="C23" s="20" t="s">
        <v>103</v>
      </c>
      <c r="D23" s="16" t="str">
        <f t="shared" si="10"/>
        <v>Order</v>
      </c>
      <c r="E23" s="20"/>
      <c r="F23" s="20" t="s">
        <v>103</v>
      </c>
      <c r="G23" s="16" t="str">
        <f t="shared" si="11"/>
        <v>Order</v>
      </c>
      <c r="H23" s="20"/>
      <c r="I23" s="20" t="s">
        <v>103</v>
      </c>
      <c r="J23" s="16" t="str">
        <f t="shared" si="12"/>
        <v>Order</v>
      </c>
      <c r="K23" s="20"/>
      <c r="L23" s="20" t="s">
        <v>103</v>
      </c>
      <c r="M23" s="16" t="str">
        <f t="shared" si="13"/>
        <v>Order</v>
      </c>
      <c r="N23" s="20"/>
      <c r="O23" s="20" t="s">
        <v>103</v>
      </c>
      <c r="P23" s="16" t="str">
        <f t="shared" si="14"/>
        <v>Order</v>
      </c>
      <c r="Q23" s="32">
        <v>3</v>
      </c>
      <c r="T23" t="str">
        <f t="shared" si="20"/>
        <v/>
      </c>
      <c r="U23" t="str">
        <f t="shared" si="21"/>
        <v>Tissue Box Tissue Refill pack ( Half Cut )</v>
      </c>
      <c r="V23" t="str">
        <f t="shared" si="22"/>
        <v>Tissue Box Tissue Refill pack ( Half Cut )</v>
      </c>
      <c r="W23" t="str">
        <f t="shared" si="23"/>
        <v>Tissue Box Tissue Refill pack ( Half Cut )</v>
      </c>
      <c r="X23" t="str">
        <f t="shared" si="24"/>
        <v>Tissue Box Tissue Refill pack ( Half Cut )</v>
      </c>
    </row>
    <row r="24" spans="1:24" ht="24.75" customHeight="1">
      <c r="A24" s="22" t="s">
        <v>120</v>
      </c>
      <c r="B24" s="26">
        <v>6.5</v>
      </c>
      <c r="C24" s="26" t="s">
        <v>14</v>
      </c>
      <c r="D24" s="24" t="str">
        <f t="shared" si="10"/>
        <v/>
      </c>
      <c r="E24" s="26"/>
      <c r="F24" s="26" t="s">
        <v>14</v>
      </c>
      <c r="G24" s="24" t="str">
        <f t="shared" si="11"/>
        <v>Order</v>
      </c>
      <c r="H24" s="26"/>
      <c r="I24" s="26" t="s">
        <v>14</v>
      </c>
      <c r="J24" s="24" t="str">
        <f t="shared" si="12"/>
        <v>Order</v>
      </c>
      <c r="K24" s="26"/>
      <c r="L24" s="26" t="s">
        <v>14</v>
      </c>
      <c r="M24" s="24" t="str">
        <f t="shared" si="13"/>
        <v>Order</v>
      </c>
      <c r="N24" s="26"/>
      <c r="O24" s="26" t="s">
        <v>14</v>
      </c>
      <c r="P24" s="24" t="str">
        <f t="shared" si="14"/>
        <v>Order</v>
      </c>
      <c r="Q24" s="31">
        <v>1</v>
      </c>
      <c r="T24" t="str">
        <f t="shared" si="20"/>
        <v/>
      </c>
      <c r="U24" t="str">
        <f t="shared" si="21"/>
        <v>Garbage Bag ( GT MAX G/B 24x36)</v>
      </c>
      <c r="V24" t="str">
        <f t="shared" si="22"/>
        <v>Garbage Bag ( GT MAX G/B 24x36)</v>
      </c>
      <c r="W24" t="str">
        <f t="shared" si="23"/>
        <v>Garbage Bag ( GT MAX G/B 24x36)</v>
      </c>
      <c r="X24" t="str">
        <f t="shared" si="24"/>
        <v>Garbage Bag ( GT MAX G/B 24x36)</v>
      </c>
    </row>
    <row r="25" spans="1:24" ht="24.75" customHeight="1">
      <c r="A25" s="19" t="s">
        <v>121</v>
      </c>
      <c r="B25" s="20">
        <v>135</v>
      </c>
      <c r="C25" s="20" t="s">
        <v>14</v>
      </c>
      <c r="D25" s="16" t="str">
        <f t="shared" si="10"/>
        <v/>
      </c>
      <c r="E25" s="20"/>
      <c r="F25" s="20" t="s">
        <v>14</v>
      </c>
      <c r="G25" s="16" t="str">
        <f t="shared" si="11"/>
        <v>Order</v>
      </c>
      <c r="H25" s="20"/>
      <c r="I25" s="20" t="s">
        <v>14</v>
      </c>
      <c r="J25" s="16" t="str">
        <f t="shared" si="12"/>
        <v>Order</v>
      </c>
      <c r="K25" s="20"/>
      <c r="L25" s="20" t="s">
        <v>14</v>
      </c>
      <c r="M25" s="16" t="str">
        <f t="shared" si="13"/>
        <v>Order</v>
      </c>
      <c r="N25" s="20"/>
      <c r="O25" s="20" t="s">
        <v>14</v>
      </c>
      <c r="P25" s="16" t="str">
        <f t="shared" si="14"/>
        <v>Order</v>
      </c>
      <c r="Q25" s="32">
        <v>3</v>
      </c>
      <c r="T25" t="str">
        <f t="shared" si="20"/>
        <v/>
      </c>
      <c r="U25" t="str">
        <f t="shared" si="21"/>
        <v>Garbage Bag (GT MAX G/B 36 x 48 "2kg)</v>
      </c>
      <c r="V25" t="str">
        <f t="shared" si="22"/>
        <v>Garbage Bag (GT MAX G/B 36 x 48 "2kg)</v>
      </c>
      <c r="W25" t="str">
        <f t="shared" si="23"/>
        <v>Garbage Bag (GT MAX G/B 36 x 48 "2kg)</v>
      </c>
      <c r="X25" t="str">
        <f t="shared" si="24"/>
        <v>Garbage Bag (GT MAX G/B 36 x 48 "2kg)</v>
      </c>
    </row>
    <row r="26" spans="1:24" ht="24.75" customHeight="1">
      <c r="A26" s="22" t="s">
        <v>122</v>
      </c>
      <c r="B26" s="26">
        <v>4</v>
      </c>
      <c r="C26" s="26" t="s">
        <v>14</v>
      </c>
      <c r="D26" s="24" t="str">
        <f t="shared" si="10"/>
        <v/>
      </c>
      <c r="E26" s="26"/>
      <c r="F26" s="26" t="s">
        <v>14</v>
      </c>
      <c r="G26" s="24" t="str">
        <f t="shared" si="11"/>
        <v>Order</v>
      </c>
      <c r="H26" s="26"/>
      <c r="I26" s="26" t="s">
        <v>14</v>
      </c>
      <c r="J26" s="24" t="str">
        <f t="shared" si="12"/>
        <v>Order</v>
      </c>
      <c r="K26" s="26"/>
      <c r="L26" s="26" t="s">
        <v>14</v>
      </c>
      <c r="M26" s="24" t="str">
        <f t="shared" si="13"/>
        <v>Order</v>
      </c>
      <c r="N26" s="26"/>
      <c r="O26" s="26" t="s">
        <v>14</v>
      </c>
      <c r="P26" s="24" t="str">
        <f t="shared" si="14"/>
        <v>Order</v>
      </c>
      <c r="Q26" s="31">
        <v>2</v>
      </c>
      <c r="T26" t="str">
        <f t="shared" si="20"/>
        <v>Non Stick Baking Paper (100m x 450mm)</v>
      </c>
      <c r="U26" t="str">
        <f t="shared" si="21"/>
        <v>Non Stick Baking Paper (100m x 450mm)</v>
      </c>
      <c r="V26" t="str">
        <f t="shared" si="22"/>
        <v>Non Stick Baking Paper (100m x 450mm)</v>
      </c>
      <c r="W26" t="str">
        <f t="shared" si="23"/>
        <v>Non Stick Baking Paper (100m x 450mm)</v>
      </c>
      <c r="X26" t="str">
        <f t="shared" si="24"/>
        <v>Non Stick Baking Paper (100m x 450mm)</v>
      </c>
    </row>
    <row r="27" spans="1:24" ht="24.75" customHeight="1">
      <c r="A27" s="19" t="s">
        <v>123</v>
      </c>
      <c r="B27" s="20">
        <v>0.5</v>
      </c>
      <c r="C27" s="20" t="s">
        <v>103</v>
      </c>
      <c r="D27" s="16" t="str">
        <f t="shared" si="10"/>
        <v>Order</v>
      </c>
      <c r="E27" s="20"/>
      <c r="F27" s="20" t="s">
        <v>103</v>
      </c>
      <c r="G27" s="16" t="str">
        <f t="shared" si="11"/>
        <v>Order</v>
      </c>
      <c r="H27" s="20"/>
      <c r="I27" s="20" t="s">
        <v>103</v>
      </c>
      <c r="J27" s="16" t="str">
        <f t="shared" si="12"/>
        <v>Order</v>
      </c>
      <c r="K27" s="20"/>
      <c r="L27" s="20" t="s">
        <v>103</v>
      </c>
      <c r="M27" s="16" t="str">
        <f t="shared" si="13"/>
        <v>Order</v>
      </c>
      <c r="N27" s="20"/>
      <c r="O27" s="20" t="s">
        <v>103</v>
      </c>
      <c r="P27" s="16" t="str">
        <f t="shared" si="14"/>
        <v>Order</v>
      </c>
      <c r="Q27" s="32">
        <v>0.5</v>
      </c>
      <c r="T27" t="str">
        <f t="shared" si="20"/>
        <v/>
      </c>
      <c r="U27" t="str">
        <f t="shared" si="21"/>
        <v>Receipt Roll (Pos)</v>
      </c>
      <c r="V27" t="str">
        <f t="shared" si="22"/>
        <v>Receipt Roll (Pos)</v>
      </c>
      <c r="W27" t="str">
        <f t="shared" si="23"/>
        <v>Receipt Roll (Pos)</v>
      </c>
      <c r="X27" t="str">
        <f t="shared" si="24"/>
        <v>Receipt Roll (Pos)</v>
      </c>
    </row>
    <row r="28" spans="1:24" ht="24.75" customHeight="1">
      <c r="A28" s="22" t="s">
        <v>124</v>
      </c>
      <c r="B28" s="26">
        <v>28</v>
      </c>
      <c r="C28" s="26" t="s">
        <v>103</v>
      </c>
      <c r="D28" s="24" t="str">
        <f t="shared" si="10"/>
        <v/>
      </c>
      <c r="E28" s="26"/>
      <c r="F28" s="26" t="s">
        <v>103</v>
      </c>
      <c r="G28" s="24" t="str">
        <f t="shared" si="11"/>
        <v>Order</v>
      </c>
      <c r="H28" s="26"/>
      <c r="I28" s="26" t="s">
        <v>103</v>
      </c>
      <c r="J28" s="24" t="str">
        <f t="shared" si="12"/>
        <v>Order</v>
      </c>
      <c r="K28" s="26"/>
      <c r="L28" s="26" t="s">
        <v>103</v>
      </c>
      <c r="M28" s="24" t="str">
        <f t="shared" si="13"/>
        <v>Order</v>
      </c>
      <c r="N28" s="26"/>
      <c r="O28" s="26" t="s">
        <v>103</v>
      </c>
      <c r="P28" s="24" t="str">
        <f t="shared" si="14"/>
        <v>Order</v>
      </c>
      <c r="Q28" s="31">
        <v>5</v>
      </c>
      <c r="T28" t="str">
        <f t="shared" si="20"/>
        <v/>
      </c>
      <c r="U28" t="str">
        <f t="shared" si="21"/>
        <v>Receipt Roll (Panda) - 57x40×10mm</v>
      </c>
      <c r="V28" t="str">
        <f t="shared" si="22"/>
        <v>Receipt Roll (Panda) - 57x40×10mm</v>
      </c>
      <c r="W28" t="str">
        <f t="shared" si="23"/>
        <v>Receipt Roll (Panda) - 57x40×10mm</v>
      </c>
      <c r="X28" t="str">
        <f t="shared" si="24"/>
        <v>Receipt Roll (Panda) - 57x40×10mm</v>
      </c>
    </row>
    <row r="29" spans="1:24" ht="24.75" customHeight="1">
      <c r="A29" s="19" t="s">
        <v>125</v>
      </c>
      <c r="B29" s="20">
        <v>28</v>
      </c>
      <c r="C29" s="20" t="s">
        <v>103</v>
      </c>
      <c r="D29" s="16" t="str">
        <f t="shared" si="10"/>
        <v/>
      </c>
      <c r="E29" s="20"/>
      <c r="F29" s="20" t="s">
        <v>103</v>
      </c>
      <c r="G29" s="16" t="str">
        <f t="shared" si="11"/>
        <v>Order</v>
      </c>
      <c r="H29" s="20"/>
      <c r="I29" s="20" t="s">
        <v>103</v>
      </c>
      <c r="J29" s="16" t="str">
        <f t="shared" si="12"/>
        <v>Order</v>
      </c>
      <c r="K29" s="20"/>
      <c r="L29" s="20" t="s">
        <v>103</v>
      </c>
      <c r="M29" s="16" t="str">
        <f t="shared" si="13"/>
        <v>Order</v>
      </c>
      <c r="N29" s="20"/>
      <c r="O29" s="20" t="s">
        <v>103</v>
      </c>
      <c r="P29" s="16" t="str">
        <f t="shared" si="14"/>
        <v>Order</v>
      </c>
      <c r="Q29" s="32">
        <v>5</v>
      </c>
      <c r="T29" t="str">
        <f t="shared" si="20"/>
        <v/>
      </c>
      <c r="U29" t="str">
        <f t="shared" si="21"/>
        <v>Receipt Roll (Hong Leong)</v>
      </c>
      <c r="V29" t="str">
        <f t="shared" si="22"/>
        <v>Receipt Roll (Hong Leong)</v>
      </c>
      <c r="W29" t="str">
        <f t="shared" si="23"/>
        <v>Receipt Roll (Hong Leong)</v>
      </c>
      <c r="X29" t="str">
        <f t="shared" si="24"/>
        <v>Receipt Roll (Hong Leong)</v>
      </c>
    </row>
    <row r="30" spans="1:24" ht="24.75" customHeight="1">
      <c r="A30" s="22" t="s">
        <v>126</v>
      </c>
      <c r="B30" s="26">
        <v>22</v>
      </c>
      <c r="C30" s="26" t="s">
        <v>103</v>
      </c>
      <c r="D30" s="24" t="str">
        <f t="shared" si="10"/>
        <v/>
      </c>
      <c r="E30" s="26"/>
      <c r="F30" s="26" t="s">
        <v>103</v>
      </c>
      <c r="G30" s="24" t="str">
        <f t="shared" si="11"/>
        <v>Order</v>
      </c>
      <c r="H30" s="26"/>
      <c r="I30" s="26" t="s">
        <v>103</v>
      </c>
      <c r="J30" s="24" t="str">
        <f t="shared" si="12"/>
        <v>Order</v>
      </c>
      <c r="K30" s="26"/>
      <c r="L30" s="26" t="s">
        <v>103</v>
      </c>
      <c r="M30" s="24" t="str">
        <f t="shared" si="13"/>
        <v>Order</v>
      </c>
      <c r="N30" s="26"/>
      <c r="O30" s="26" t="s">
        <v>103</v>
      </c>
      <c r="P30" s="24" t="str">
        <f t="shared" si="14"/>
        <v>Order</v>
      </c>
      <c r="Q30" s="31">
        <v>5</v>
      </c>
      <c r="T30" t="str">
        <f t="shared" si="20"/>
        <v>Orii Transparent Gloves</v>
      </c>
      <c r="U30" t="str">
        <f t="shared" si="21"/>
        <v>Orii Transparent Gloves</v>
      </c>
      <c r="V30" t="str">
        <f t="shared" si="22"/>
        <v>Orii Transparent Gloves</v>
      </c>
      <c r="W30" t="str">
        <f t="shared" si="23"/>
        <v>Orii Transparent Gloves</v>
      </c>
      <c r="X30" t="str">
        <f t="shared" si="24"/>
        <v>Orii Transparent Gloves</v>
      </c>
    </row>
    <row r="31" spans="1:24" ht="24.75" customHeight="1">
      <c r="A31" s="19" t="s">
        <v>127</v>
      </c>
      <c r="B31" s="20">
        <v>4</v>
      </c>
      <c r="C31" s="20" t="s">
        <v>24</v>
      </c>
      <c r="D31" s="16" t="str">
        <f t="shared" si="10"/>
        <v>Order</v>
      </c>
      <c r="E31" s="20"/>
      <c r="F31" s="20" t="s">
        <v>24</v>
      </c>
      <c r="G31" s="16" t="str">
        <f t="shared" si="11"/>
        <v>Order</v>
      </c>
      <c r="H31" s="20"/>
      <c r="I31" s="20" t="s">
        <v>24</v>
      </c>
      <c r="J31" s="16" t="str">
        <f t="shared" si="12"/>
        <v>Order</v>
      </c>
      <c r="K31" s="20"/>
      <c r="L31" s="20" t="s">
        <v>24</v>
      </c>
      <c r="M31" s="16" t="str">
        <f t="shared" si="13"/>
        <v>Order</v>
      </c>
      <c r="N31" s="20"/>
      <c r="O31" s="20" t="s">
        <v>24</v>
      </c>
      <c r="P31" s="16" t="str">
        <f t="shared" si="14"/>
        <v>Order</v>
      </c>
      <c r="Q31" s="32">
        <v>5</v>
      </c>
      <c r="T31" t="str">
        <f t="shared" si="20"/>
        <v/>
      </c>
      <c r="U31" t="str">
        <f t="shared" si="21"/>
        <v>Nitrile Gloves (S)</v>
      </c>
      <c r="V31" t="str">
        <f t="shared" si="22"/>
        <v>Nitrile Gloves (S)</v>
      </c>
      <c r="W31" t="str">
        <f t="shared" si="23"/>
        <v>Nitrile Gloves (S)</v>
      </c>
      <c r="X31" t="str">
        <f t="shared" si="24"/>
        <v>Nitrile Gloves (S)</v>
      </c>
    </row>
    <row r="32" spans="1:24" ht="24.75" customHeight="1">
      <c r="A32" s="22" t="s">
        <v>128</v>
      </c>
      <c r="B32" s="26">
        <v>11</v>
      </c>
      <c r="C32" s="26" t="s">
        <v>24</v>
      </c>
      <c r="D32" s="24" t="str">
        <f t="shared" si="10"/>
        <v/>
      </c>
      <c r="E32" s="26"/>
      <c r="F32" s="26" t="s">
        <v>24</v>
      </c>
      <c r="G32" s="24" t="str">
        <f t="shared" si="11"/>
        <v>Order</v>
      </c>
      <c r="H32" s="26"/>
      <c r="I32" s="26" t="s">
        <v>24</v>
      </c>
      <c r="J32" s="24" t="str">
        <f t="shared" si="12"/>
        <v>Order</v>
      </c>
      <c r="K32" s="26"/>
      <c r="L32" s="26" t="s">
        <v>24</v>
      </c>
      <c r="M32" s="24" t="str">
        <f t="shared" si="13"/>
        <v>Order</v>
      </c>
      <c r="N32" s="26"/>
      <c r="O32" s="26" t="s">
        <v>24</v>
      </c>
      <c r="P32" s="24" t="str">
        <f t="shared" si="14"/>
        <v>Order</v>
      </c>
      <c r="Q32" s="31">
        <v>3</v>
      </c>
      <c r="T32" t="str">
        <f t="shared" si="20"/>
        <v>Nitrile Gloves (M)</v>
      </c>
      <c r="U32" t="str">
        <f t="shared" si="21"/>
        <v>Nitrile Gloves (M)</v>
      </c>
      <c r="V32" t="str">
        <f t="shared" si="22"/>
        <v>Nitrile Gloves (M)</v>
      </c>
      <c r="W32" t="str">
        <f t="shared" si="23"/>
        <v>Nitrile Gloves (M)</v>
      </c>
      <c r="X32" t="str">
        <f t="shared" si="24"/>
        <v>Nitrile Gloves (M)</v>
      </c>
    </row>
    <row r="33" spans="1:24" ht="24.75" customHeight="1">
      <c r="A33" s="19" t="s">
        <v>129</v>
      </c>
      <c r="B33" s="20">
        <v>3</v>
      </c>
      <c r="C33" s="20" t="s">
        <v>24</v>
      </c>
      <c r="D33" s="16" t="str">
        <f t="shared" si="10"/>
        <v>Order</v>
      </c>
      <c r="E33" s="20"/>
      <c r="F33" s="20" t="s">
        <v>24</v>
      </c>
      <c r="G33" s="16" t="str">
        <f t="shared" si="11"/>
        <v>Order</v>
      </c>
      <c r="H33" s="20"/>
      <c r="I33" s="20" t="s">
        <v>24</v>
      </c>
      <c r="J33" s="16" t="str">
        <f t="shared" si="12"/>
        <v>Order</v>
      </c>
      <c r="K33" s="20"/>
      <c r="L33" s="20" t="s">
        <v>24</v>
      </c>
      <c r="M33" s="16" t="str">
        <f t="shared" si="13"/>
        <v>Order</v>
      </c>
      <c r="N33" s="20"/>
      <c r="O33" s="20" t="s">
        <v>24</v>
      </c>
      <c r="P33" s="16" t="str">
        <f t="shared" si="14"/>
        <v>Order</v>
      </c>
      <c r="Q33" s="32">
        <v>3</v>
      </c>
      <c r="T33" t="str">
        <f t="shared" si="20"/>
        <v>Nitrile Gloves (L)</v>
      </c>
      <c r="U33" t="str">
        <f t="shared" si="21"/>
        <v>Nitrile Gloves (L)</v>
      </c>
      <c r="V33" t="str">
        <f t="shared" si="22"/>
        <v>Nitrile Gloves (L)</v>
      </c>
      <c r="W33" t="str">
        <f t="shared" si="23"/>
        <v>Nitrile Gloves (L)</v>
      </c>
      <c r="X33" t="str">
        <f t="shared" si="24"/>
        <v>Nitrile Gloves (L)</v>
      </c>
    </row>
    <row r="34" spans="1:24" ht="24.75" customHeight="1">
      <c r="A34" s="22" t="s">
        <v>130</v>
      </c>
      <c r="B34" s="26">
        <v>2</v>
      </c>
      <c r="C34" s="26" t="s">
        <v>24</v>
      </c>
      <c r="D34" s="24" t="str">
        <f t="shared" si="10"/>
        <v>Order</v>
      </c>
      <c r="E34" s="26"/>
      <c r="F34" s="26" t="s">
        <v>24</v>
      </c>
      <c r="G34" s="24" t="str">
        <f t="shared" si="11"/>
        <v>Order</v>
      </c>
      <c r="H34" s="26"/>
      <c r="I34" s="26" t="s">
        <v>24</v>
      </c>
      <c r="J34" s="24" t="str">
        <f t="shared" si="12"/>
        <v>Order</v>
      </c>
      <c r="K34" s="26"/>
      <c r="L34" s="26" t="s">
        <v>24</v>
      </c>
      <c r="M34" s="24" t="str">
        <f t="shared" si="13"/>
        <v>Order</v>
      </c>
      <c r="N34" s="26"/>
      <c r="O34" s="26" t="s">
        <v>24</v>
      </c>
      <c r="P34" s="24" t="str">
        <f t="shared" si="14"/>
        <v>Order</v>
      </c>
      <c r="Q34" s="31">
        <v>3</v>
      </c>
      <c r="T34" t="str">
        <f t="shared" si="20"/>
        <v/>
      </c>
      <c r="U34" t="str">
        <f t="shared" si="21"/>
        <v>Disposable Glove (Pack)</v>
      </c>
      <c r="V34" t="str">
        <f t="shared" si="22"/>
        <v>Disposable Glove (Pack)</v>
      </c>
      <c r="W34" t="str">
        <f t="shared" si="23"/>
        <v>Disposable Glove (Pack)</v>
      </c>
      <c r="X34" t="str">
        <f t="shared" si="24"/>
        <v>Disposable Glove (Pack)</v>
      </c>
    </row>
    <row r="35" spans="1:24" ht="24.75" customHeight="1">
      <c r="A35" s="19" t="s">
        <v>131</v>
      </c>
      <c r="B35" s="16">
        <v>14</v>
      </c>
      <c r="C35" s="20" t="s">
        <v>14</v>
      </c>
      <c r="D35" s="16" t="str">
        <f t="shared" si="10"/>
        <v/>
      </c>
      <c r="E35" s="16"/>
      <c r="F35" s="20" t="s">
        <v>14</v>
      </c>
      <c r="G35" s="16" t="str">
        <f t="shared" si="11"/>
        <v>Order</v>
      </c>
      <c r="H35" s="16"/>
      <c r="I35" s="20" t="s">
        <v>14</v>
      </c>
      <c r="J35" s="16" t="str">
        <f t="shared" si="12"/>
        <v>Order</v>
      </c>
      <c r="K35" s="16"/>
      <c r="L35" s="20" t="s">
        <v>14</v>
      </c>
      <c r="M35" s="16" t="str">
        <f t="shared" si="13"/>
        <v>Order</v>
      </c>
      <c r="N35" s="16"/>
      <c r="O35" s="20" t="s">
        <v>14</v>
      </c>
      <c r="P35" s="16" t="str">
        <f t="shared" si="14"/>
        <v>Order</v>
      </c>
      <c r="Q35" s="32">
        <v>12</v>
      </c>
      <c r="T35" t="str">
        <f t="shared" si="20"/>
        <v/>
      </c>
      <c r="U35" t="str">
        <f t="shared" si="21"/>
        <v/>
      </c>
      <c r="V35" t="str">
        <f t="shared" si="22"/>
        <v/>
      </c>
      <c r="W35" t="str">
        <f t="shared" si="23"/>
        <v/>
      </c>
      <c r="X35" t="str">
        <f t="shared" si="24"/>
        <v/>
      </c>
    </row>
    <row r="36" spans="1:24" ht="24.75" customHeight="1">
      <c r="A36" s="22" t="s">
        <v>132</v>
      </c>
      <c r="B36" s="26">
        <v>1</v>
      </c>
      <c r="C36" s="26" t="s">
        <v>14</v>
      </c>
      <c r="D36" s="24" t="str">
        <f>IF(B36&lt;=4,"Spare Item","")</f>
        <v>Spare Item</v>
      </c>
      <c r="E36" s="26"/>
      <c r="F36" s="26" t="s">
        <v>14</v>
      </c>
      <c r="G36" s="24" t="str">
        <f>IF(E36&lt;=4,"Spare Item","")</f>
        <v>Spare Item</v>
      </c>
      <c r="H36" s="26"/>
      <c r="I36" s="26" t="s">
        <v>14</v>
      </c>
      <c r="J36" s="24" t="str">
        <f>IF(H36&lt;=4,"Spare Item","")</f>
        <v>Spare Item</v>
      </c>
      <c r="K36" s="26"/>
      <c r="L36" s="26" t="s">
        <v>14</v>
      </c>
      <c r="M36" s="24" t="str">
        <f>IF(K36&lt;=4,"Spare Item","")</f>
        <v>Spare Item</v>
      </c>
      <c r="N36" s="26"/>
      <c r="O36" s="26" t="s">
        <v>14</v>
      </c>
      <c r="P36" s="24" t="str">
        <f>IF(N36&lt;=4,"Spare Item","")</f>
        <v>Spare Item</v>
      </c>
      <c r="Q36" s="31">
        <v>4</v>
      </c>
      <c r="T36" t="str">
        <f t="shared" si="20"/>
        <v/>
      </c>
      <c r="U36" t="str">
        <f t="shared" si="21"/>
        <v>Freshmatic automatic spray cartridge</v>
      </c>
      <c r="V36" t="str">
        <f t="shared" si="22"/>
        <v>Freshmatic automatic spray cartridge</v>
      </c>
      <c r="W36" t="str">
        <f t="shared" si="23"/>
        <v>Freshmatic automatic spray cartridge</v>
      </c>
      <c r="X36" t="str">
        <f t="shared" si="24"/>
        <v>Freshmatic automatic spray cartridge</v>
      </c>
    </row>
    <row r="37" spans="1:24" ht="24.75" customHeight="1">
      <c r="A37" s="36" t="s">
        <v>133</v>
      </c>
      <c r="B37" s="20">
        <v>3</v>
      </c>
      <c r="C37" s="20" t="s">
        <v>94</v>
      </c>
      <c r="D37" s="16" t="str">
        <f t="shared" ref="D37:D38" si="25">IF(B37&lt;=$Q37,"Order","")</f>
        <v/>
      </c>
      <c r="E37" s="20"/>
      <c r="F37" s="20" t="s">
        <v>94</v>
      </c>
      <c r="G37" s="16" t="str">
        <f t="shared" ref="G37:G38" si="26">IF(E37&lt;=$Q37,"Order","")</f>
        <v>Order</v>
      </c>
      <c r="H37" s="20"/>
      <c r="I37" s="20" t="s">
        <v>94</v>
      </c>
      <c r="J37" s="16" t="str">
        <f t="shared" ref="J37:J38" si="27">IF(H37&lt;=$Q37,"Order","")</f>
        <v>Order</v>
      </c>
      <c r="K37" s="20"/>
      <c r="L37" s="20" t="s">
        <v>94</v>
      </c>
      <c r="M37" s="16" t="str">
        <f t="shared" ref="M37:M38" si="28">IF(K37&lt;=$Q37,"Order","")</f>
        <v>Order</v>
      </c>
      <c r="N37" s="20"/>
      <c r="O37" s="20" t="s">
        <v>94</v>
      </c>
      <c r="P37" s="16" t="str">
        <f t="shared" ref="P37:P38" si="29">IF(N37&lt;=$Q37,"Order","")</f>
        <v>Order</v>
      </c>
      <c r="Q37" s="32">
        <v>0</v>
      </c>
      <c r="T37" t="str">
        <f t="shared" si="20"/>
        <v/>
      </c>
      <c r="U37" t="str">
        <f t="shared" si="21"/>
        <v>Toilet refresher</v>
      </c>
      <c r="V37" t="str">
        <f t="shared" si="22"/>
        <v>Toilet refresher</v>
      </c>
      <c r="W37" t="str">
        <f t="shared" si="23"/>
        <v>Toilet refresher</v>
      </c>
      <c r="X37" t="str">
        <f t="shared" si="24"/>
        <v>Toilet refresher</v>
      </c>
    </row>
    <row r="38" spans="1:24" ht="24.75" customHeight="1">
      <c r="A38" s="34" t="s">
        <v>134</v>
      </c>
      <c r="B38" s="26">
        <v>4</v>
      </c>
      <c r="C38" s="26" t="s">
        <v>94</v>
      </c>
      <c r="D38" s="24" t="str">
        <f t="shared" si="25"/>
        <v/>
      </c>
      <c r="E38" s="26"/>
      <c r="F38" s="26" t="s">
        <v>94</v>
      </c>
      <c r="G38" s="24" t="str">
        <f t="shared" si="26"/>
        <v>Order</v>
      </c>
      <c r="H38" s="26"/>
      <c r="I38" s="26" t="s">
        <v>94</v>
      </c>
      <c r="J38" s="24" t="str">
        <f t="shared" si="27"/>
        <v>Order</v>
      </c>
      <c r="K38" s="26"/>
      <c r="L38" s="26" t="s">
        <v>94</v>
      </c>
      <c r="M38" s="24" t="str">
        <f t="shared" si="28"/>
        <v>Order</v>
      </c>
      <c r="N38" s="26"/>
      <c r="O38" s="26" t="s">
        <v>94</v>
      </c>
      <c r="P38" s="24" t="str">
        <f t="shared" si="29"/>
        <v>Order</v>
      </c>
      <c r="Q38" s="31">
        <v>0</v>
      </c>
      <c r="T38" t="str">
        <f t="shared" si="20"/>
        <v/>
      </c>
      <c r="U38" t="str">
        <f t="shared" si="21"/>
        <v/>
      </c>
      <c r="V38" t="str">
        <f>IF(I39="Order",A39,"")</f>
        <v/>
      </c>
      <c r="W38" t="str">
        <f>IF(L39="Order",A39,"")</f>
        <v/>
      </c>
      <c r="X38" t="str">
        <f>IF(O39="Order",A39,"")</f>
        <v/>
      </c>
    </row>
    <row r="39" spans="1:24" ht="15.75" customHeight="1"/>
    <row r="40" spans="1:24" ht="15.75" customHeight="1"/>
    <row r="41" spans="1:24" ht="15.75" customHeight="1"/>
    <row r="42" spans="1:24" ht="15.75" customHeight="1"/>
    <row r="43" spans="1:24" ht="15.75" customHeight="1"/>
    <row r="44" spans="1:24" ht="15.75" customHeight="1"/>
    <row r="45" spans="1:24" ht="15.75" customHeight="1"/>
    <row r="46" spans="1:24" ht="15.75" hidden="1" customHeight="1">
      <c r="A46" t="e">
        <f ca="1">IF(B2="","",TEXTJOIN(" ,   ",TRUE,T3:T38))</f>
        <v>#NAME?</v>
      </c>
    </row>
    <row r="47" spans="1:24" ht="15.75" customHeight="1"/>
    <row r="48" spans="1:24" ht="15.75" customHeight="1">
      <c r="A48" t="str">
        <f>IF(H2="","",TEXTJOIN(" ,   ",TRUE,V3:V38))</f>
        <v/>
      </c>
    </row>
    <row r="49" spans="1:1" ht="15.75" customHeight="1">
      <c r="A49" t="str">
        <f>IF(K2="","",TEXTJOIN(" ,   ",TRUE,W3:W39))</f>
        <v/>
      </c>
    </row>
    <row r="50" spans="1:1" ht="15.75" customHeight="1">
      <c r="A50" t="str">
        <f>IF(N2="","",TEXTJOIN(" ,   ",TRUE,X3:X38))</f>
        <v/>
      </c>
    </row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A1:M1"/>
    <mergeCell ref="N3:O3"/>
    <mergeCell ref="N2:P2"/>
    <mergeCell ref="K3:L3"/>
    <mergeCell ref="E3:F3"/>
    <mergeCell ref="K2:M2"/>
    <mergeCell ref="H3:I3"/>
    <mergeCell ref="H2:J2"/>
    <mergeCell ref="B2:D2"/>
    <mergeCell ref="E2:G2"/>
    <mergeCell ref="B3:C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B14" sqref="B14"/>
    </sheetView>
  </sheetViews>
  <sheetFormatPr defaultColWidth="14.42578125" defaultRowHeight="15" customHeight="1"/>
  <cols>
    <col min="1" max="1" width="59" customWidth="1"/>
    <col min="2" max="4" width="12.140625" customWidth="1"/>
    <col min="5" max="5" width="5" customWidth="1"/>
    <col min="6" max="6" width="34.5703125" hidden="1" customWidth="1"/>
    <col min="7" max="11" width="9" customWidth="1"/>
  </cols>
  <sheetData>
    <row r="1" spans="1:6" ht="22.5">
      <c r="A1" s="73" t="s">
        <v>160</v>
      </c>
      <c r="B1" s="60"/>
      <c r="C1" s="60"/>
      <c r="D1" s="57"/>
      <c r="E1" s="37"/>
    </row>
    <row r="2" spans="1:6" ht="21" customHeight="1">
      <c r="A2" s="38" t="s">
        <v>9</v>
      </c>
      <c r="B2" s="72"/>
      <c r="C2" s="60"/>
      <c r="D2" s="57"/>
      <c r="E2" s="37"/>
    </row>
    <row r="3" spans="1:6" ht="21">
      <c r="A3" s="39"/>
      <c r="B3" s="71" t="s">
        <v>63</v>
      </c>
      <c r="C3" s="57"/>
      <c r="D3" s="40" t="s">
        <v>11</v>
      </c>
      <c r="E3" s="37" t="s">
        <v>135</v>
      </c>
      <c r="F3" t="str">
        <f t="shared" ref="F3:F22" si="0">IF(D4="Order",A4,"")</f>
        <v>Ball pen ( Blue 0.5mm/ 0.7mm)</v>
      </c>
    </row>
    <row r="4" spans="1:6" ht="21" customHeight="1">
      <c r="A4" s="41" t="s">
        <v>136</v>
      </c>
      <c r="B4" s="42"/>
      <c r="C4" s="43" t="s">
        <v>137</v>
      </c>
      <c r="D4" s="42" t="str">
        <f t="shared" ref="D4:D22" si="1">IF(B4&lt;=$E4,"Order","")</f>
        <v>Order</v>
      </c>
      <c r="E4" s="37">
        <v>1</v>
      </c>
      <c r="F4" t="str">
        <f t="shared" si="0"/>
        <v>Ball pen ( Black 0.5mm/ 0.7mm)</v>
      </c>
    </row>
    <row r="5" spans="1:6" ht="21" customHeight="1">
      <c r="A5" s="44" t="s">
        <v>138</v>
      </c>
      <c r="B5" s="45"/>
      <c r="C5" s="46" t="s">
        <v>137</v>
      </c>
      <c r="D5" s="45" t="str">
        <f t="shared" si="1"/>
        <v>Order</v>
      </c>
      <c r="E5" s="37">
        <v>1</v>
      </c>
      <c r="F5" t="str">
        <f t="shared" si="0"/>
        <v>Marker pen ( Blue )</v>
      </c>
    </row>
    <row r="6" spans="1:6" ht="21" customHeight="1">
      <c r="A6" s="41" t="s">
        <v>139</v>
      </c>
      <c r="B6" s="42"/>
      <c r="C6" s="47" t="s">
        <v>137</v>
      </c>
      <c r="D6" s="42" t="str">
        <f t="shared" si="1"/>
        <v>Order</v>
      </c>
      <c r="E6" s="37">
        <v>1</v>
      </c>
      <c r="F6" t="str">
        <f t="shared" si="0"/>
        <v>Marker pen (Black)</v>
      </c>
    </row>
    <row r="7" spans="1:6" ht="21" customHeight="1">
      <c r="A7" s="44" t="s">
        <v>140</v>
      </c>
      <c r="B7" s="45"/>
      <c r="C7" s="46" t="s">
        <v>137</v>
      </c>
      <c r="D7" s="45" t="str">
        <f t="shared" si="1"/>
        <v>Order</v>
      </c>
      <c r="E7" s="37">
        <v>1</v>
      </c>
      <c r="F7" t="str">
        <f t="shared" si="0"/>
        <v>White board marker ( any colour )</v>
      </c>
    </row>
    <row r="8" spans="1:6" ht="21" customHeight="1">
      <c r="A8" s="41" t="s">
        <v>141</v>
      </c>
      <c r="B8" s="42"/>
      <c r="C8" s="43" t="s">
        <v>137</v>
      </c>
      <c r="D8" s="42" t="str">
        <f t="shared" si="1"/>
        <v>Order</v>
      </c>
      <c r="E8" s="37">
        <v>1</v>
      </c>
      <c r="F8" t="str">
        <f t="shared" si="0"/>
        <v>Highlighter ( any colour )</v>
      </c>
    </row>
    <row r="9" spans="1:6" ht="21" customHeight="1">
      <c r="A9" s="44" t="s">
        <v>142</v>
      </c>
      <c r="B9" s="45"/>
      <c r="C9" s="46" t="s">
        <v>137</v>
      </c>
      <c r="D9" s="45" t="str">
        <f t="shared" si="1"/>
        <v>Order</v>
      </c>
      <c r="E9" s="37">
        <v>1</v>
      </c>
      <c r="F9" t="str">
        <f t="shared" si="0"/>
        <v>Staples ( Length 5mm 1000 staples)</v>
      </c>
    </row>
    <row r="10" spans="1:6" ht="21" customHeight="1">
      <c r="A10" s="41" t="s">
        <v>143</v>
      </c>
      <c r="B10" s="42"/>
      <c r="C10" s="43" t="s">
        <v>144</v>
      </c>
      <c r="D10" s="42" t="str">
        <f t="shared" si="1"/>
        <v>Order</v>
      </c>
      <c r="E10" s="37">
        <v>1</v>
      </c>
      <c r="F10" t="str">
        <f t="shared" si="0"/>
        <v>Paper clips (100 pcs art. NOTR 031)</v>
      </c>
    </row>
    <row r="11" spans="1:6" ht="21" customHeight="1">
      <c r="A11" s="44" t="s">
        <v>145</v>
      </c>
      <c r="B11" s="45"/>
      <c r="C11" s="46" t="s">
        <v>144</v>
      </c>
      <c r="D11" s="45" t="str">
        <f t="shared" si="1"/>
        <v>Order</v>
      </c>
      <c r="E11" s="37">
        <v>1</v>
      </c>
      <c r="F11" t="str">
        <f t="shared" si="0"/>
        <v>Blinder clips ( DL6052 Black)</v>
      </c>
    </row>
    <row r="12" spans="1:6" ht="21" customHeight="1">
      <c r="A12" s="41" t="s">
        <v>146</v>
      </c>
      <c r="B12" s="42"/>
      <c r="C12" s="43" t="s">
        <v>144</v>
      </c>
      <c r="D12" s="42" t="str">
        <f t="shared" si="1"/>
        <v>Order</v>
      </c>
      <c r="E12" s="37">
        <v>1</v>
      </c>
      <c r="F12" t="str">
        <f t="shared" si="0"/>
        <v>Solotape ( visible )</v>
      </c>
    </row>
    <row r="13" spans="1:6" ht="21" customHeight="1">
      <c r="A13" s="44" t="s">
        <v>147</v>
      </c>
      <c r="B13" s="45"/>
      <c r="C13" s="46" t="s">
        <v>148</v>
      </c>
      <c r="D13" s="45" t="str">
        <f t="shared" si="1"/>
        <v>Order</v>
      </c>
      <c r="E13" s="37">
        <v>1</v>
      </c>
      <c r="F13" t="str">
        <f t="shared" si="0"/>
        <v>Double tape</v>
      </c>
    </row>
    <row r="14" spans="1:6" ht="21" customHeight="1">
      <c r="A14" s="41" t="s">
        <v>149</v>
      </c>
      <c r="B14" s="42"/>
      <c r="C14" s="48" t="s">
        <v>148</v>
      </c>
      <c r="D14" s="42" t="str">
        <f t="shared" si="1"/>
        <v>Order</v>
      </c>
      <c r="E14" s="37">
        <v>1</v>
      </c>
      <c r="F14" t="str">
        <f t="shared" si="0"/>
        <v>Cloth duct tape ( any colour )</v>
      </c>
    </row>
    <row r="15" spans="1:6" ht="21" customHeight="1">
      <c r="A15" s="44" t="s">
        <v>150</v>
      </c>
      <c r="B15" s="45"/>
      <c r="C15" s="46" t="s">
        <v>148</v>
      </c>
      <c r="D15" s="45" t="str">
        <f t="shared" si="1"/>
        <v>Order</v>
      </c>
      <c r="E15" s="37">
        <v>1</v>
      </c>
      <c r="F15" t="str">
        <f t="shared" si="0"/>
        <v>AA Battery</v>
      </c>
    </row>
    <row r="16" spans="1:6" ht="21" customHeight="1">
      <c r="A16" s="41" t="s">
        <v>151</v>
      </c>
      <c r="B16" s="42"/>
      <c r="C16" s="43" t="s">
        <v>137</v>
      </c>
      <c r="D16" s="42" t="str">
        <f t="shared" si="1"/>
        <v>Order</v>
      </c>
      <c r="E16" s="37">
        <v>2</v>
      </c>
      <c r="F16" t="str">
        <f t="shared" si="0"/>
        <v>AAA Battery</v>
      </c>
    </row>
    <row r="17" spans="1:6" ht="21" customHeight="1">
      <c r="A17" s="44" t="s">
        <v>152</v>
      </c>
      <c r="B17" s="45"/>
      <c r="C17" s="49" t="s">
        <v>137</v>
      </c>
      <c r="D17" s="45" t="str">
        <f t="shared" si="1"/>
        <v>Order</v>
      </c>
      <c r="E17" s="37">
        <v>2</v>
      </c>
      <c r="F17" t="str">
        <f t="shared" si="0"/>
        <v>Butane Gas Cartridge (only selected menu)</v>
      </c>
    </row>
    <row r="18" spans="1:6" ht="21" customHeight="1">
      <c r="A18" s="41" t="s">
        <v>153</v>
      </c>
      <c r="B18" s="42"/>
      <c r="C18" s="43" t="s">
        <v>154</v>
      </c>
      <c r="D18" s="42" t="str">
        <f t="shared" si="1"/>
        <v>Order</v>
      </c>
      <c r="E18" s="37">
        <v>1</v>
      </c>
      <c r="F18" t="str">
        <f t="shared" si="0"/>
        <v>Gas Cylinder ( Shell / Petros / Petronas )</v>
      </c>
    </row>
    <row r="19" spans="1:6" ht="21" customHeight="1">
      <c r="A19" s="44" t="s">
        <v>155</v>
      </c>
      <c r="B19" s="45"/>
      <c r="C19" s="46" t="s">
        <v>156</v>
      </c>
      <c r="D19" s="45" t="str">
        <f t="shared" si="1"/>
        <v>Order</v>
      </c>
      <c r="E19" s="37">
        <v>2</v>
      </c>
      <c r="F19" t="str">
        <f t="shared" si="0"/>
        <v>Towel ( any colour )</v>
      </c>
    </row>
    <row r="20" spans="1:6" ht="21" customHeight="1">
      <c r="A20" s="41" t="s">
        <v>157</v>
      </c>
      <c r="B20" s="42"/>
      <c r="C20" s="43" t="s">
        <v>137</v>
      </c>
      <c r="D20" s="42" t="str">
        <f t="shared" si="1"/>
        <v>Order</v>
      </c>
      <c r="E20" s="37">
        <v>0</v>
      </c>
      <c r="F20" t="str">
        <f t="shared" si="0"/>
        <v>Track light replacement bulb ( 4000k)</v>
      </c>
    </row>
    <row r="21" spans="1:6" ht="21" customHeight="1">
      <c r="A21" s="44" t="s">
        <v>158</v>
      </c>
      <c r="B21" s="45"/>
      <c r="C21" s="46" t="s">
        <v>137</v>
      </c>
      <c r="D21" s="45" t="str">
        <f t="shared" si="1"/>
        <v>Order</v>
      </c>
      <c r="E21" s="37">
        <v>1</v>
      </c>
      <c r="F21" t="str">
        <f t="shared" si="0"/>
        <v>Track light replacement bulb ( 6500k)</v>
      </c>
    </row>
    <row r="22" spans="1:6" ht="21" customHeight="1">
      <c r="A22" s="41" t="s">
        <v>159</v>
      </c>
      <c r="B22" s="42"/>
      <c r="C22" s="43" t="s">
        <v>137</v>
      </c>
      <c r="D22" s="42" t="str">
        <f t="shared" si="1"/>
        <v>Order</v>
      </c>
      <c r="E22" s="37">
        <v>1</v>
      </c>
      <c r="F22" t="str">
        <f t="shared" si="0"/>
        <v/>
      </c>
    </row>
    <row r="23" spans="1:6" ht="15.75" customHeight="1">
      <c r="E23" s="37"/>
    </row>
    <row r="24" spans="1:6" ht="15.75" customHeight="1">
      <c r="E24" s="37"/>
    </row>
    <row r="25" spans="1:6" ht="15.75" customHeight="1">
      <c r="E25" s="37"/>
    </row>
    <row r="26" spans="1:6" ht="15.75" customHeight="1">
      <c r="E26" s="37"/>
    </row>
    <row r="27" spans="1:6" ht="15.75" customHeight="1">
      <c r="E27" s="37"/>
    </row>
    <row r="28" spans="1:6" ht="15.75" customHeight="1">
      <c r="E28" s="37"/>
    </row>
    <row r="29" spans="1:6" ht="15.75" customHeight="1">
      <c r="E29" s="37"/>
    </row>
    <row r="30" spans="1:6" ht="15.75" customHeight="1">
      <c r="E30" s="37"/>
    </row>
    <row r="31" spans="1:6" ht="15.75" customHeight="1">
      <c r="E31" s="37"/>
    </row>
    <row r="32" spans="1:6" ht="15.75" customHeight="1">
      <c r="E32" s="37"/>
    </row>
    <row r="33" spans="1:5" ht="15.75" customHeight="1">
      <c r="E33" s="37"/>
    </row>
    <row r="34" spans="1:5" ht="15.75" customHeight="1">
      <c r="E34" s="37"/>
    </row>
    <row r="35" spans="1:5" ht="15.75" customHeight="1">
      <c r="E35" s="37"/>
    </row>
    <row r="36" spans="1:5" ht="15.75" customHeight="1">
      <c r="E36" s="37"/>
    </row>
    <row r="37" spans="1:5" ht="15.75" customHeight="1">
      <c r="E37" s="37"/>
    </row>
    <row r="38" spans="1:5" ht="15.75" customHeight="1">
      <c r="E38" s="37"/>
    </row>
    <row r="39" spans="1:5" ht="15.75" customHeight="1">
      <c r="E39" s="37"/>
    </row>
    <row r="40" spans="1:5" ht="15.75" customHeight="1">
      <c r="E40" s="37"/>
    </row>
    <row r="41" spans="1:5" ht="15.75" customHeight="1">
      <c r="E41" s="37"/>
    </row>
    <row r="42" spans="1:5" ht="15.75" customHeight="1">
      <c r="E42" s="37"/>
    </row>
    <row r="43" spans="1:5" ht="15.75" customHeight="1">
      <c r="E43" s="37"/>
    </row>
    <row r="44" spans="1:5" ht="15.75" hidden="1" customHeight="1">
      <c r="A44" t="str">
        <f>IF(B2="","",TEXTJOIN(" ,   ",TRUE,F4:F22))</f>
        <v/>
      </c>
      <c r="E44" s="37"/>
    </row>
    <row r="45" spans="1:5" ht="15.75" customHeight="1">
      <c r="E45" s="37"/>
    </row>
    <row r="46" spans="1:5" ht="15.75" customHeight="1">
      <c r="E46" s="37"/>
    </row>
    <row r="47" spans="1:5" ht="15.75" customHeight="1">
      <c r="E47" s="37"/>
    </row>
    <row r="48" spans="1:5" ht="15.75" customHeight="1">
      <c r="E48" s="37"/>
    </row>
    <row r="49" spans="5:5" ht="15.75" customHeight="1">
      <c r="E49" s="37"/>
    </row>
    <row r="50" spans="5:5" ht="15.75" customHeight="1">
      <c r="E50" s="37"/>
    </row>
    <row r="51" spans="5:5" ht="15.75" customHeight="1">
      <c r="E51" s="37"/>
    </row>
    <row r="52" spans="5:5" ht="15.75" customHeight="1">
      <c r="E52" s="37"/>
    </row>
    <row r="53" spans="5:5" ht="15.75" customHeight="1">
      <c r="E53" s="37"/>
    </row>
    <row r="54" spans="5:5" ht="15.75" customHeight="1">
      <c r="E54" s="37"/>
    </row>
    <row r="55" spans="5:5" ht="15.75" customHeight="1">
      <c r="E55" s="37"/>
    </row>
    <row r="56" spans="5:5" ht="15.75" customHeight="1">
      <c r="E56" s="37"/>
    </row>
    <row r="57" spans="5:5" ht="15.75" customHeight="1">
      <c r="E57" s="37"/>
    </row>
    <row r="58" spans="5:5" ht="15.75" customHeight="1">
      <c r="E58" s="37"/>
    </row>
    <row r="59" spans="5:5" ht="15.75" customHeight="1">
      <c r="E59" s="37"/>
    </row>
    <row r="60" spans="5:5" ht="15.75" customHeight="1">
      <c r="E60" s="37"/>
    </row>
    <row r="61" spans="5:5" ht="15.75" customHeight="1">
      <c r="E61" s="37"/>
    </row>
    <row r="62" spans="5:5" ht="15.75" customHeight="1">
      <c r="E62" s="37"/>
    </row>
    <row r="63" spans="5:5" ht="15.75" customHeight="1">
      <c r="E63" s="37"/>
    </row>
    <row r="64" spans="5:5" ht="15.75" customHeight="1">
      <c r="E64" s="37"/>
    </row>
    <row r="65" spans="5:5" ht="15.75" customHeight="1">
      <c r="E65" s="37"/>
    </row>
    <row r="66" spans="5:5" ht="15.75" customHeight="1">
      <c r="E66" s="37"/>
    </row>
    <row r="67" spans="5:5" ht="15.75" customHeight="1">
      <c r="E67" s="37"/>
    </row>
    <row r="68" spans="5:5" ht="15.75" customHeight="1">
      <c r="E68" s="37"/>
    </row>
    <row r="69" spans="5:5" ht="15.75" customHeight="1">
      <c r="E69" s="37"/>
    </row>
    <row r="70" spans="5:5" ht="15.75" customHeight="1">
      <c r="E70" s="37"/>
    </row>
    <row r="71" spans="5:5" ht="15.75" customHeight="1">
      <c r="E71" s="37"/>
    </row>
    <row r="72" spans="5:5" ht="15.75" customHeight="1">
      <c r="E72" s="37"/>
    </row>
    <row r="73" spans="5:5" ht="15.75" customHeight="1">
      <c r="E73" s="37"/>
    </row>
    <row r="74" spans="5:5" ht="15.75" customHeight="1">
      <c r="E74" s="37"/>
    </row>
    <row r="75" spans="5:5" ht="15.75" customHeight="1">
      <c r="E75" s="37"/>
    </row>
    <row r="76" spans="5:5" ht="15.75" customHeight="1">
      <c r="E76" s="37"/>
    </row>
    <row r="77" spans="5:5" ht="15.75" customHeight="1">
      <c r="E77" s="37"/>
    </row>
    <row r="78" spans="5:5" ht="15.75" customHeight="1">
      <c r="E78" s="37"/>
    </row>
    <row r="79" spans="5:5" ht="15.75" customHeight="1">
      <c r="E79" s="37"/>
    </row>
    <row r="80" spans="5:5" ht="15.75" customHeight="1">
      <c r="E80" s="37"/>
    </row>
    <row r="81" spans="5:5" ht="15.75" customHeight="1">
      <c r="E81" s="37"/>
    </row>
    <row r="82" spans="5:5" ht="15.75" customHeight="1">
      <c r="E82" s="37"/>
    </row>
    <row r="83" spans="5:5" ht="15.75" customHeight="1">
      <c r="E83" s="37"/>
    </row>
    <row r="84" spans="5:5" ht="15.75" customHeight="1">
      <c r="E84" s="37"/>
    </row>
    <row r="85" spans="5:5" ht="15.75" customHeight="1">
      <c r="E85" s="37"/>
    </row>
    <row r="86" spans="5:5" ht="15.75" customHeight="1">
      <c r="E86" s="37"/>
    </row>
    <row r="87" spans="5:5" ht="15.75" customHeight="1">
      <c r="E87" s="37"/>
    </row>
    <row r="88" spans="5:5" ht="15.75" customHeight="1">
      <c r="E88" s="37"/>
    </row>
    <row r="89" spans="5:5" ht="15.75" customHeight="1">
      <c r="E89" s="37"/>
    </row>
    <row r="90" spans="5:5" ht="15.75" customHeight="1">
      <c r="E90" s="37"/>
    </row>
    <row r="91" spans="5:5" ht="15.75" customHeight="1">
      <c r="E91" s="37"/>
    </row>
    <row r="92" spans="5:5" ht="15.75" customHeight="1">
      <c r="E92" s="37"/>
    </row>
    <row r="93" spans="5:5" ht="15.75" customHeight="1">
      <c r="E93" s="37"/>
    </row>
    <row r="94" spans="5:5" ht="15.75" customHeight="1">
      <c r="E94" s="37"/>
    </row>
    <row r="95" spans="5:5" ht="15.75" customHeight="1">
      <c r="E95" s="37"/>
    </row>
    <row r="96" spans="5:5" ht="15.75" customHeight="1">
      <c r="E96" s="37"/>
    </row>
    <row r="97" spans="5:5" ht="15.75" customHeight="1">
      <c r="E97" s="37"/>
    </row>
    <row r="98" spans="5:5" ht="15.75" customHeight="1">
      <c r="E98" s="37"/>
    </row>
    <row r="99" spans="5:5" ht="15.75" customHeight="1">
      <c r="E99" s="37"/>
    </row>
    <row r="100" spans="5:5" ht="15.75" customHeight="1">
      <c r="E100" s="37"/>
    </row>
  </sheetData>
  <mergeCells count="3">
    <mergeCell ref="B3:C3"/>
    <mergeCell ref="B2:D2"/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 Page</vt:lpstr>
      <vt:lpstr>Inventory </vt:lpstr>
      <vt:lpstr>Untensil PG1</vt:lpstr>
      <vt:lpstr>Utensil PG2</vt:lpstr>
      <vt:lpstr>Stationary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linzhihongzhihong@gmail.com</dc:creator>
  <cp:lastModifiedBy>user</cp:lastModifiedBy>
  <dcterms:created xsi:type="dcterms:W3CDTF">2024-07-20T01:40:31Z</dcterms:created>
  <dcterms:modified xsi:type="dcterms:W3CDTF">2026-07-13T07:33:54Z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56dc8535ae114cc0976766c4fdf9e39c</vt:lpwstr>
  </property>
</Properties>
</file>